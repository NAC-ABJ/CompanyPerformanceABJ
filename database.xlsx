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301374\Downloads\"/>
    </mc:Choice>
  </mc:AlternateContent>
  <xr:revisionPtr revIDLastSave="0" documentId="13_ncr:1_{61BEF5F9-DA00-4928-B412-146C3A5F6F00}" xr6:coauthVersionLast="47" xr6:coauthVersionMax="47" xr10:uidLastSave="{00000000-0000-0000-0000-000000000000}"/>
  <bookViews>
    <workbookView xWindow="-110" yWindow="-110" windowWidth="19420" windowHeight="10300" activeTab="4" xr2:uid="{64EE5C01-A88B-41C1-99CB-6BE0BE3B6D1D}"/>
  </bookViews>
  <sheets>
    <sheet name="BU 1,2" sheetId="1" r:id="rId1"/>
    <sheet name="B3" sheetId="2" r:id="rId2"/>
    <sheet name="PG" sheetId="3" r:id="rId3"/>
    <sheet name="P1" sheetId="4" r:id="rId4"/>
    <sheet name="P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46" i="6" l="1"/>
  <c r="S246" i="6" s="1"/>
  <c r="I246" i="6"/>
  <c r="F246" i="6"/>
  <c r="E246" i="6"/>
  <c r="D246" i="6"/>
  <c r="O245" i="6"/>
  <c r="I245" i="6"/>
  <c r="F245" i="6"/>
  <c r="E245" i="6"/>
  <c r="D245" i="6"/>
  <c r="O244" i="6"/>
  <c r="S244" i="6" s="1"/>
  <c r="I244" i="6"/>
  <c r="F244" i="6"/>
  <c r="E244" i="6"/>
  <c r="D244" i="6"/>
  <c r="J244" i="6" s="1"/>
  <c r="O243" i="6"/>
  <c r="I243" i="6"/>
  <c r="F243" i="6"/>
  <c r="E243" i="6"/>
  <c r="G243" i="6" s="1"/>
  <c r="D243" i="6"/>
  <c r="P242" i="6"/>
  <c r="O242" i="6"/>
  <c r="S242" i="6" s="1"/>
  <c r="I242" i="6"/>
  <c r="F242" i="6"/>
  <c r="E242" i="6"/>
  <c r="D242" i="6"/>
  <c r="O241" i="6"/>
  <c r="I241" i="6"/>
  <c r="F241" i="6"/>
  <c r="E241" i="6"/>
  <c r="D241" i="6"/>
  <c r="J241" i="6" s="1"/>
  <c r="O240" i="6"/>
  <c r="S240" i="6" s="1"/>
  <c r="I240" i="6"/>
  <c r="F240" i="6"/>
  <c r="E240" i="6"/>
  <c r="D240" i="6"/>
  <c r="J240" i="6" s="1"/>
  <c r="O239" i="6"/>
  <c r="S239" i="6" s="1"/>
  <c r="I239" i="6"/>
  <c r="F239" i="6"/>
  <c r="E239" i="6"/>
  <c r="G239" i="6" s="1"/>
  <c r="D239" i="6"/>
  <c r="O238" i="6"/>
  <c r="S238" i="6" s="1"/>
  <c r="I238" i="6"/>
  <c r="F238" i="6"/>
  <c r="E238" i="6"/>
  <c r="D238" i="6"/>
  <c r="O237" i="6"/>
  <c r="I237" i="6"/>
  <c r="F237" i="6"/>
  <c r="E237" i="6"/>
  <c r="D237" i="6"/>
  <c r="J237" i="6" s="1"/>
  <c r="O236" i="6"/>
  <c r="S236" i="6" s="1"/>
  <c r="I236" i="6"/>
  <c r="F236" i="6"/>
  <c r="E236" i="6"/>
  <c r="D236" i="6"/>
  <c r="O235" i="6"/>
  <c r="S235" i="6" s="1"/>
  <c r="I235" i="6"/>
  <c r="F235" i="6"/>
  <c r="E235" i="6"/>
  <c r="D235" i="6"/>
  <c r="O234" i="6"/>
  <c r="S234" i="6" s="1"/>
  <c r="I234" i="6"/>
  <c r="F234" i="6"/>
  <c r="E234" i="6"/>
  <c r="D234" i="6"/>
  <c r="J234" i="6" s="1"/>
  <c r="O233" i="6"/>
  <c r="I233" i="6"/>
  <c r="F233" i="6"/>
  <c r="E233" i="6"/>
  <c r="D233" i="6"/>
  <c r="J233" i="6" s="1"/>
  <c r="O232" i="6"/>
  <c r="S232" i="6" s="1"/>
  <c r="I232" i="6"/>
  <c r="F232" i="6"/>
  <c r="E232" i="6"/>
  <c r="D232" i="6"/>
  <c r="P232" i="6" s="1"/>
  <c r="O231" i="6"/>
  <c r="I231" i="6"/>
  <c r="F231" i="6"/>
  <c r="E231" i="6"/>
  <c r="G231" i="6" s="1"/>
  <c r="D231" i="6"/>
  <c r="O230" i="6"/>
  <c r="I230" i="6"/>
  <c r="F230" i="6"/>
  <c r="E230" i="6"/>
  <c r="D230" i="6"/>
  <c r="J230" i="6" s="1"/>
  <c r="O229" i="6"/>
  <c r="I229" i="6"/>
  <c r="F229" i="6"/>
  <c r="E229" i="6"/>
  <c r="D229" i="6"/>
  <c r="J229" i="6" s="1"/>
  <c r="O228" i="6"/>
  <c r="I228" i="6"/>
  <c r="F228" i="6"/>
  <c r="E228" i="6"/>
  <c r="D228" i="6"/>
  <c r="O227" i="6"/>
  <c r="S227" i="6" s="1"/>
  <c r="I227" i="6"/>
  <c r="F227" i="6"/>
  <c r="E227" i="6"/>
  <c r="G227" i="6" s="1"/>
  <c r="D227" i="6"/>
  <c r="O226" i="6"/>
  <c r="I226" i="6"/>
  <c r="F226" i="6"/>
  <c r="E226" i="6"/>
  <c r="D226" i="6"/>
  <c r="O225" i="6"/>
  <c r="I225" i="6"/>
  <c r="F225" i="6"/>
  <c r="E225" i="6"/>
  <c r="G225" i="6" s="1"/>
  <c r="D225" i="6"/>
  <c r="J225" i="6" s="1"/>
  <c r="O224" i="6"/>
  <c r="S224" i="6" s="1"/>
  <c r="I224" i="6"/>
  <c r="F224" i="6"/>
  <c r="E224" i="6"/>
  <c r="D224" i="6"/>
  <c r="O223" i="6"/>
  <c r="I223" i="6"/>
  <c r="F223" i="6"/>
  <c r="E223" i="6"/>
  <c r="D223" i="6"/>
  <c r="O222" i="6"/>
  <c r="S222" i="6" s="1"/>
  <c r="I222" i="6"/>
  <c r="F222" i="6"/>
  <c r="E222" i="6"/>
  <c r="D222" i="6"/>
  <c r="O221" i="6"/>
  <c r="I221" i="6"/>
  <c r="F221" i="6"/>
  <c r="E221" i="6"/>
  <c r="D221" i="6"/>
  <c r="J221" i="6" s="1"/>
  <c r="O220" i="6"/>
  <c r="S220" i="6" s="1"/>
  <c r="I220" i="6"/>
  <c r="F220" i="6"/>
  <c r="E220" i="6"/>
  <c r="D220" i="6"/>
  <c r="O219" i="6"/>
  <c r="I219" i="6"/>
  <c r="F219" i="6"/>
  <c r="E219" i="6"/>
  <c r="D219" i="6"/>
  <c r="O218" i="6"/>
  <c r="I218" i="6"/>
  <c r="F218" i="6"/>
  <c r="E218" i="6"/>
  <c r="D218" i="6"/>
  <c r="J218" i="6" s="1"/>
  <c r="O217" i="6"/>
  <c r="I217" i="6"/>
  <c r="F217" i="6"/>
  <c r="E217" i="6"/>
  <c r="D217" i="6"/>
  <c r="J217" i="6" s="1"/>
  <c r="O216" i="6"/>
  <c r="S216" i="6" s="1"/>
  <c r="I216" i="6"/>
  <c r="F216" i="6"/>
  <c r="E216" i="6"/>
  <c r="D216" i="6"/>
  <c r="J216" i="6" s="1"/>
  <c r="O215" i="6"/>
  <c r="S215" i="6" s="1"/>
  <c r="I215" i="6"/>
  <c r="F215" i="6"/>
  <c r="E215" i="6"/>
  <c r="G215" i="6" s="1"/>
  <c r="D215" i="6"/>
  <c r="J215" i="6" s="1"/>
  <c r="O214" i="6"/>
  <c r="I214" i="6"/>
  <c r="F214" i="6"/>
  <c r="E214" i="6"/>
  <c r="D214" i="6"/>
  <c r="J214" i="6" s="1"/>
  <c r="O213" i="6"/>
  <c r="I213" i="6"/>
  <c r="F213" i="6"/>
  <c r="E213" i="6"/>
  <c r="D213" i="6"/>
  <c r="P213" i="6" s="1"/>
  <c r="O212" i="6"/>
  <c r="S212" i="6" s="1"/>
  <c r="I212" i="6"/>
  <c r="F212" i="6"/>
  <c r="E212" i="6"/>
  <c r="D212" i="6"/>
  <c r="J212" i="6" s="1"/>
  <c r="O211" i="6"/>
  <c r="I211" i="6"/>
  <c r="F211" i="6"/>
  <c r="E211" i="6"/>
  <c r="D211" i="6"/>
  <c r="J211" i="6" s="1"/>
  <c r="O210" i="6"/>
  <c r="I210" i="6"/>
  <c r="F210" i="6"/>
  <c r="E210" i="6"/>
  <c r="D210" i="6"/>
  <c r="J210" i="6" s="1"/>
  <c r="O209" i="6"/>
  <c r="I209" i="6"/>
  <c r="F209" i="6"/>
  <c r="E209" i="6"/>
  <c r="D209" i="6"/>
  <c r="J209" i="6" s="1"/>
  <c r="O208" i="6"/>
  <c r="S208" i="6" s="1"/>
  <c r="I208" i="6"/>
  <c r="F208" i="6"/>
  <c r="E208" i="6"/>
  <c r="D208" i="6"/>
  <c r="J208" i="6" s="1"/>
  <c r="O207" i="6"/>
  <c r="I207" i="6"/>
  <c r="F207" i="6"/>
  <c r="E207" i="6"/>
  <c r="D207" i="6"/>
  <c r="O206" i="6"/>
  <c r="I206" i="6"/>
  <c r="F206" i="6"/>
  <c r="E206" i="6"/>
  <c r="D206" i="6"/>
  <c r="J206" i="6" s="1"/>
  <c r="O205" i="6"/>
  <c r="I205" i="6"/>
  <c r="F205" i="6"/>
  <c r="E205" i="6"/>
  <c r="G205" i="6" s="1"/>
  <c r="D205" i="6"/>
  <c r="J205" i="6" s="1"/>
  <c r="O204" i="6"/>
  <c r="S204" i="6" s="1"/>
  <c r="I204" i="6"/>
  <c r="F204" i="6"/>
  <c r="E204" i="6"/>
  <c r="D204" i="6"/>
  <c r="O203" i="6"/>
  <c r="S203" i="6" s="1"/>
  <c r="I203" i="6"/>
  <c r="F203" i="6"/>
  <c r="E203" i="6"/>
  <c r="D203" i="6"/>
  <c r="J203" i="6" s="1"/>
  <c r="O202" i="6"/>
  <c r="S202" i="6" s="1"/>
  <c r="I202" i="6"/>
  <c r="F202" i="6"/>
  <c r="E202" i="6"/>
  <c r="D202" i="6"/>
  <c r="J202" i="6" s="1"/>
  <c r="O201" i="6"/>
  <c r="I201" i="6"/>
  <c r="F201" i="6"/>
  <c r="E201" i="6"/>
  <c r="G201" i="6" s="1"/>
  <c r="D201" i="6"/>
  <c r="P201" i="6" s="1"/>
  <c r="O200" i="6"/>
  <c r="S200" i="6" s="1"/>
  <c r="I200" i="6"/>
  <c r="F200" i="6"/>
  <c r="E200" i="6"/>
  <c r="D200" i="6"/>
  <c r="J200" i="6" s="1"/>
  <c r="O199" i="6"/>
  <c r="S199" i="6" s="1"/>
  <c r="I199" i="6"/>
  <c r="F199" i="6"/>
  <c r="E199" i="6"/>
  <c r="D199" i="6"/>
  <c r="O198" i="6"/>
  <c r="I198" i="6"/>
  <c r="F198" i="6"/>
  <c r="E198" i="6"/>
  <c r="D198" i="6"/>
  <c r="O197" i="6"/>
  <c r="I197" i="6"/>
  <c r="F197" i="6"/>
  <c r="E197" i="6"/>
  <c r="D197" i="6"/>
  <c r="O196" i="6"/>
  <c r="I196" i="6"/>
  <c r="F196" i="6"/>
  <c r="E196" i="6"/>
  <c r="D196" i="6"/>
  <c r="Q196" i="6" s="1"/>
  <c r="O195" i="6"/>
  <c r="I195" i="6"/>
  <c r="F195" i="6"/>
  <c r="E195" i="6"/>
  <c r="D195" i="6"/>
  <c r="O194" i="6"/>
  <c r="I194" i="6"/>
  <c r="F194" i="6"/>
  <c r="E194" i="6"/>
  <c r="D194" i="6"/>
  <c r="J194" i="6" s="1"/>
  <c r="O193" i="6"/>
  <c r="I193" i="6"/>
  <c r="F193" i="6"/>
  <c r="E193" i="6"/>
  <c r="D193" i="6"/>
  <c r="O192" i="6"/>
  <c r="I192" i="6"/>
  <c r="F192" i="6"/>
  <c r="E192" i="6"/>
  <c r="D192" i="6"/>
  <c r="O191" i="6"/>
  <c r="S191" i="6" s="1"/>
  <c r="I191" i="6"/>
  <c r="F191" i="6"/>
  <c r="E191" i="6"/>
  <c r="D191" i="6"/>
  <c r="J191" i="6" s="1"/>
  <c r="O190" i="6"/>
  <c r="S190" i="6" s="1"/>
  <c r="I190" i="6"/>
  <c r="F190" i="6"/>
  <c r="E190" i="6"/>
  <c r="D190" i="6"/>
  <c r="O189" i="6"/>
  <c r="I189" i="6"/>
  <c r="F189" i="6"/>
  <c r="E189" i="6"/>
  <c r="D189" i="6"/>
  <c r="O188" i="6"/>
  <c r="S188" i="6" s="1"/>
  <c r="I188" i="6"/>
  <c r="F188" i="6"/>
  <c r="E188" i="6"/>
  <c r="D188" i="6"/>
  <c r="O187" i="6"/>
  <c r="S187" i="6" s="1"/>
  <c r="I187" i="6"/>
  <c r="F187" i="6"/>
  <c r="E187" i="6"/>
  <c r="G187" i="6" s="1"/>
  <c r="D187" i="6"/>
  <c r="O186" i="6"/>
  <c r="S186" i="6" s="1"/>
  <c r="I186" i="6"/>
  <c r="F186" i="6"/>
  <c r="E186" i="6"/>
  <c r="D186" i="6"/>
  <c r="J186" i="6" s="1"/>
  <c r="O185" i="6"/>
  <c r="I185" i="6"/>
  <c r="F185" i="6"/>
  <c r="E185" i="6"/>
  <c r="D185" i="6"/>
  <c r="J185" i="6" s="1"/>
  <c r="O184" i="6"/>
  <c r="S184" i="6" s="1"/>
  <c r="I184" i="6"/>
  <c r="F184" i="6"/>
  <c r="E184" i="6"/>
  <c r="D184" i="6"/>
  <c r="O183" i="6"/>
  <c r="S183" i="6" s="1"/>
  <c r="I183" i="6"/>
  <c r="F183" i="6"/>
  <c r="E183" i="6"/>
  <c r="D183" i="6"/>
  <c r="J183" i="6" s="1"/>
  <c r="O182" i="6"/>
  <c r="I182" i="6"/>
  <c r="F182" i="6"/>
  <c r="E182" i="6"/>
  <c r="D182" i="6"/>
  <c r="J182" i="6" s="1"/>
  <c r="O181" i="6"/>
  <c r="I181" i="6"/>
  <c r="F181" i="6"/>
  <c r="E181" i="6"/>
  <c r="D181" i="6"/>
  <c r="J181" i="6" s="1"/>
  <c r="O180" i="6"/>
  <c r="S180" i="6" s="1"/>
  <c r="I180" i="6"/>
  <c r="F180" i="6"/>
  <c r="E180" i="6"/>
  <c r="D180" i="6"/>
  <c r="O179" i="6"/>
  <c r="S179" i="6" s="1"/>
  <c r="I179" i="6"/>
  <c r="F179" i="6"/>
  <c r="E179" i="6"/>
  <c r="D179" i="6"/>
  <c r="O178" i="6"/>
  <c r="I178" i="6"/>
  <c r="F178" i="6"/>
  <c r="E178" i="6"/>
  <c r="D178" i="6"/>
  <c r="J178" i="6" s="1"/>
  <c r="O177" i="6"/>
  <c r="I177" i="6"/>
  <c r="F177" i="6"/>
  <c r="E177" i="6"/>
  <c r="D177" i="6"/>
  <c r="J177" i="6" s="1"/>
  <c r="O176" i="6"/>
  <c r="S176" i="6" s="1"/>
  <c r="I176" i="6"/>
  <c r="F176" i="6"/>
  <c r="E176" i="6"/>
  <c r="D176" i="6"/>
  <c r="Q176" i="6" s="1"/>
  <c r="O175" i="6"/>
  <c r="I175" i="6"/>
  <c r="F175" i="6"/>
  <c r="E175" i="6"/>
  <c r="D175" i="6"/>
  <c r="J175" i="6" s="1"/>
  <c r="O174" i="6"/>
  <c r="S174" i="6" s="1"/>
  <c r="I174" i="6"/>
  <c r="F174" i="6"/>
  <c r="E174" i="6"/>
  <c r="D174" i="6"/>
  <c r="J174" i="6" s="1"/>
  <c r="O173" i="6"/>
  <c r="I173" i="6"/>
  <c r="F173" i="6"/>
  <c r="E173" i="6"/>
  <c r="D173" i="6"/>
  <c r="J173" i="6" s="1"/>
  <c r="O172" i="6"/>
  <c r="S172" i="6" s="1"/>
  <c r="I172" i="6"/>
  <c r="F172" i="6"/>
  <c r="E172" i="6"/>
  <c r="D172" i="6"/>
  <c r="O171" i="6"/>
  <c r="I171" i="6"/>
  <c r="F171" i="6"/>
  <c r="E171" i="6"/>
  <c r="D171" i="6"/>
  <c r="J171" i="6" s="1"/>
  <c r="O170" i="6"/>
  <c r="S170" i="6" s="1"/>
  <c r="I170" i="6"/>
  <c r="F170" i="6"/>
  <c r="E170" i="6"/>
  <c r="D170" i="6"/>
  <c r="J170" i="6" s="1"/>
  <c r="O169" i="6"/>
  <c r="I169" i="6"/>
  <c r="F169" i="6"/>
  <c r="E169" i="6"/>
  <c r="D169" i="6"/>
  <c r="J169" i="6" s="1"/>
  <c r="O168" i="6"/>
  <c r="I168" i="6"/>
  <c r="F168" i="6"/>
  <c r="E168" i="6"/>
  <c r="G168" i="6" s="1"/>
  <c r="D168" i="6"/>
  <c r="J168" i="6" s="1"/>
  <c r="O167" i="6"/>
  <c r="I167" i="6"/>
  <c r="F167" i="6"/>
  <c r="E167" i="6"/>
  <c r="D167" i="6"/>
  <c r="J167" i="6" s="1"/>
  <c r="O166" i="6"/>
  <c r="I166" i="6"/>
  <c r="F166" i="6"/>
  <c r="E166" i="6"/>
  <c r="D166" i="6"/>
  <c r="J166" i="6" s="1"/>
  <c r="O165" i="6"/>
  <c r="I165" i="6"/>
  <c r="F165" i="6"/>
  <c r="E165" i="6"/>
  <c r="G165" i="6" s="1"/>
  <c r="D165" i="6"/>
  <c r="J165" i="6" s="1"/>
  <c r="O164" i="6"/>
  <c r="S164" i="6" s="1"/>
  <c r="I164" i="6"/>
  <c r="F164" i="6"/>
  <c r="E164" i="6"/>
  <c r="D164" i="6"/>
  <c r="J164" i="6" s="1"/>
  <c r="O163" i="6"/>
  <c r="I163" i="6"/>
  <c r="F163" i="6"/>
  <c r="E163" i="6"/>
  <c r="D163" i="6"/>
  <c r="J163" i="6" s="1"/>
  <c r="O162" i="6"/>
  <c r="I162" i="6"/>
  <c r="F162" i="6"/>
  <c r="E162" i="6"/>
  <c r="D162" i="6"/>
  <c r="J162" i="6" s="1"/>
  <c r="O161" i="6"/>
  <c r="I161" i="6"/>
  <c r="F161" i="6"/>
  <c r="E161" i="6"/>
  <c r="D161" i="6"/>
  <c r="P161" i="6" s="1"/>
  <c r="O160" i="6"/>
  <c r="S160" i="6" s="1"/>
  <c r="I160" i="6"/>
  <c r="F160" i="6"/>
  <c r="E160" i="6"/>
  <c r="D160" i="6"/>
  <c r="J160" i="6" s="1"/>
  <c r="O159" i="6"/>
  <c r="S159" i="6" s="1"/>
  <c r="I159" i="6"/>
  <c r="F159" i="6"/>
  <c r="E159" i="6"/>
  <c r="D159" i="6"/>
  <c r="O158" i="6"/>
  <c r="I158" i="6"/>
  <c r="F158" i="6"/>
  <c r="E158" i="6"/>
  <c r="D158" i="6"/>
  <c r="J158" i="6" s="1"/>
  <c r="O157" i="6"/>
  <c r="I157" i="6"/>
  <c r="F157" i="6"/>
  <c r="E157" i="6"/>
  <c r="G157" i="6" s="1"/>
  <c r="D157" i="6"/>
  <c r="P157" i="6" s="1"/>
  <c r="O156" i="6"/>
  <c r="I156" i="6"/>
  <c r="F156" i="6"/>
  <c r="E156" i="6"/>
  <c r="D156" i="6"/>
  <c r="J156" i="6" s="1"/>
  <c r="O155" i="6"/>
  <c r="I155" i="6"/>
  <c r="F155" i="6"/>
  <c r="E155" i="6"/>
  <c r="D155" i="6"/>
  <c r="O154" i="6"/>
  <c r="S154" i="6" s="1"/>
  <c r="I154" i="6"/>
  <c r="F154" i="6"/>
  <c r="E154" i="6"/>
  <c r="D154" i="6"/>
  <c r="O153" i="6"/>
  <c r="I153" i="6"/>
  <c r="F153" i="6"/>
  <c r="E153" i="6"/>
  <c r="D153" i="6"/>
  <c r="J153" i="6" s="1"/>
  <c r="O152" i="6"/>
  <c r="I152" i="6"/>
  <c r="F152" i="6"/>
  <c r="E152" i="6"/>
  <c r="D152" i="6"/>
  <c r="J152" i="6" s="1"/>
  <c r="O151" i="6"/>
  <c r="I151" i="6"/>
  <c r="F151" i="6"/>
  <c r="E151" i="6"/>
  <c r="D151" i="6"/>
  <c r="O150" i="6"/>
  <c r="I150" i="6"/>
  <c r="F150" i="6"/>
  <c r="E150" i="6"/>
  <c r="D150" i="6"/>
  <c r="O149" i="6"/>
  <c r="I149" i="6"/>
  <c r="F149" i="6"/>
  <c r="E149" i="6"/>
  <c r="D149" i="6"/>
  <c r="J149" i="6" s="1"/>
  <c r="O148" i="6"/>
  <c r="S148" i="6" s="1"/>
  <c r="I148" i="6"/>
  <c r="F148" i="6"/>
  <c r="E148" i="6"/>
  <c r="D148" i="6"/>
  <c r="J148" i="6" s="1"/>
  <c r="O147" i="6"/>
  <c r="S147" i="6" s="1"/>
  <c r="I147" i="6"/>
  <c r="F147" i="6"/>
  <c r="E147" i="6"/>
  <c r="D147" i="6"/>
  <c r="O146" i="6"/>
  <c r="I146" i="6"/>
  <c r="F146" i="6"/>
  <c r="E146" i="6"/>
  <c r="D146" i="6"/>
  <c r="O145" i="6"/>
  <c r="I145" i="6"/>
  <c r="F145" i="6"/>
  <c r="E145" i="6"/>
  <c r="G145" i="6" s="1"/>
  <c r="D145" i="6"/>
  <c r="O144" i="6"/>
  <c r="S144" i="6" s="1"/>
  <c r="I144" i="6"/>
  <c r="F144" i="6"/>
  <c r="E144" i="6"/>
  <c r="D144" i="6"/>
  <c r="J144" i="6" s="1"/>
  <c r="O143" i="6"/>
  <c r="S143" i="6" s="1"/>
  <c r="I143" i="6"/>
  <c r="F143" i="6"/>
  <c r="E143" i="6"/>
  <c r="G143" i="6" s="1"/>
  <c r="D143" i="6"/>
  <c r="Q143" i="6" s="1"/>
  <c r="O142" i="6"/>
  <c r="S142" i="6" s="1"/>
  <c r="I142" i="6"/>
  <c r="F142" i="6"/>
  <c r="E142" i="6"/>
  <c r="D142" i="6"/>
  <c r="J142" i="6" s="1"/>
  <c r="O141" i="6"/>
  <c r="I141" i="6"/>
  <c r="F141" i="6"/>
  <c r="E141" i="6"/>
  <c r="D141" i="6"/>
  <c r="J141" i="6" s="1"/>
  <c r="O140" i="6"/>
  <c r="S140" i="6" s="1"/>
  <c r="I140" i="6"/>
  <c r="F140" i="6"/>
  <c r="E140" i="6"/>
  <c r="G140" i="6" s="1"/>
  <c r="D140" i="6"/>
  <c r="O139" i="6"/>
  <c r="I139" i="6"/>
  <c r="F139" i="6"/>
  <c r="E139" i="6"/>
  <c r="D139" i="6"/>
  <c r="O138" i="6"/>
  <c r="I138" i="6"/>
  <c r="F138" i="6"/>
  <c r="E138" i="6"/>
  <c r="D138" i="6"/>
  <c r="J138" i="6" s="1"/>
  <c r="O137" i="6"/>
  <c r="I137" i="6"/>
  <c r="F137" i="6"/>
  <c r="E137" i="6"/>
  <c r="D137" i="6"/>
  <c r="J137" i="6" s="1"/>
  <c r="O136" i="6"/>
  <c r="S136" i="6" s="1"/>
  <c r="I136" i="6"/>
  <c r="F136" i="6"/>
  <c r="E136" i="6"/>
  <c r="D136" i="6"/>
  <c r="O135" i="6"/>
  <c r="I135" i="6"/>
  <c r="F135" i="6"/>
  <c r="E135" i="6"/>
  <c r="D135" i="6"/>
  <c r="O134" i="6"/>
  <c r="I134" i="6"/>
  <c r="F134" i="6"/>
  <c r="E134" i="6"/>
  <c r="D134" i="6"/>
  <c r="J134" i="6" s="1"/>
  <c r="O133" i="6"/>
  <c r="I133" i="6"/>
  <c r="F133" i="6"/>
  <c r="E133" i="6"/>
  <c r="D133" i="6"/>
  <c r="O132" i="6"/>
  <c r="S132" i="6" s="1"/>
  <c r="I132" i="6"/>
  <c r="F132" i="6"/>
  <c r="E132" i="6"/>
  <c r="G132" i="6" s="1"/>
  <c r="D132" i="6"/>
  <c r="J132" i="6" s="1"/>
  <c r="O131" i="6"/>
  <c r="I131" i="6"/>
  <c r="F131" i="6"/>
  <c r="E131" i="6"/>
  <c r="G131" i="6" s="1"/>
  <c r="D131" i="6"/>
  <c r="O130" i="6"/>
  <c r="I130" i="6"/>
  <c r="F130" i="6"/>
  <c r="E130" i="6"/>
  <c r="D130" i="6"/>
  <c r="J130" i="6" s="1"/>
  <c r="O129" i="6"/>
  <c r="I129" i="6"/>
  <c r="F129" i="6"/>
  <c r="E129" i="6"/>
  <c r="G129" i="6" s="1"/>
  <c r="D129" i="6"/>
  <c r="J129" i="6" s="1"/>
  <c r="O128" i="6"/>
  <c r="S128" i="6" s="1"/>
  <c r="I128" i="6"/>
  <c r="F128" i="6"/>
  <c r="E128" i="6"/>
  <c r="G128" i="6" s="1"/>
  <c r="D128" i="6"/>
  <c r="J128" i="6" s="1"/>
  <c r="O127" i="6"/>
  <c r="S127" i="6" s="1"/>
  <c r="I127" i="6"/>
  <c r="F127" i="6"/>
  <c r="E127" i="6"/>
  <c r="D127" i="6"/>
  <c r="O126" i="6"/>
  <c r="S126" i="6" s="1"/>
  <c r="I126" i="6"/>
  <c r="F126" i="6"/>
  <c r="E126" i="6"/>
  <c r="D126" i="6"/>
  <c r="J126" i="6" s="1"/>
  <c r="O125" i="6"/>
  <c r="I125" i="6"/>
  <c r="F125" i="6"/>
  <c r="E125" i="6"/>
  <c r="G125" i="6" s="1"/>
  <c r="D125" i="6"/>
  <c r="J125" i="6" s="1"/>
  <c r="O124" i="6"/>
  <c r="S124" i="6" s="1"/>
  <c r="I124" i="6"/>
  <c r="F124" i="6"/>
  <c r="E124" i="6"/>
  <c r="D124" i="6"/>
  <c r="J124" i="6" s="1"/>
  <c r="O123" i="6"/>
  <c r="S123" i="6" s="1"/>
  <c r="I123" i="6"/>
  <c r="F123" i="6"/>
  <c r="E123" i="6"/>
  <c r="D123" i="6"/>
  <c r="O122" i="6"/>
  <c r="S122" i="6" s="1"/>
  <c r="I122" i="6"/>
  <c r="F122" i="6"/>
  <c r="E122" i="6"/>
  <c r="D122" i="6"/>
  <c r="J122" i="6" s="1"/>
  <c r="O121" i="6"/>
  <c r="I121" i="6"/>
  <c r="F121" i="6"/>
  <c r="E121" i="6"/>
  <c r="D121" i="6"/>
  <c r="O120" i="6"/>
  <c r="I120" i="6"/>
  <c r="F120" i="6"/>
  <c r="E120" i="6"/>
  <c r="D120" i="6"/>
  <c r="O119" i="6"/>
  <c r="S119" i="6" s="1"/>
  <c r="I119" i="6"/>
  <c r="F119" i="6"/>
  <c r="E119" i="6"/>
  <c r="D119" i="6"/>
  <c r="O118" i="6"/>
  <c r="I118" i="6"/>
  <c r="F118" i="6"/>
  <c r="E118" i="6"/>
  <c r="D118" i="6"/>
  <c r="J118" i="6" s="1"/>
  <c r="O117" i="6"/>
  <c r="I117" i="6"/>
  <c r="F117" i="6"/>
  <c r="E117" i="6"/>
  <c r="D117" i="6"/>
  <c r="J117" i="6" s="1"/>
  <c r="O116" i="6"/>
  <c r="S116" i="6" s="1"/>
  <c r="I116" i="6"/>
  <c r="F116" i="6"/>
  <c r="E116" i="6"/>
  <c r="G116" i="6" s="1"/>
  <c r="D116" i="6"/>
  <c r="O115" i="6"/>
  <c r="S115" i="6" s="1"/>
  <c r="I115" i="6"/>
  <c r="F115" i="6"/>
  <c r="E115" i="6"/>
  <c r="D115" i="6"/>
  <c r="O114" i="6"/>
  <c r="S114" i="6" s="1"/>
  <c r="I114" i="6"/>
  <c r="F114" i="6"/>
  <c r="E114" i="6"/>
  <c r="D114" i="6"/>
  <c r="J114" i="6" s="1"/>
  <c r="O113" i="6"/>
  <c r="I113" i="6"/>
  <c r="F113" i="6"/>
  <c r="E113" i="6"/>
  <c r="D113" i="6"/>
  <c r="J113" i="6" s="1"/>
  <c r="O112" i="6"/>
  <c r="S112" i="6" s="1"/>
  <c r="I112" i="6"/>
  <c r="F112" i="6"/>
  <c r="E112" i="6"/>
  <c r="D112" i="6"/>
  <c r="O111" i="6"/>
  <c r="I111" i="6"/>
  <c r="F111" i="6"/>
  <c r="E111" i="6"/>
  <c r="D111" i="6"/>
  <c r="O110" i="6"/>
  <c r="I110" i="6"/>
  <c r="F110" i="6"/>
  <c r="E110" i="6"/>
  <c r="D110" i="6"/>
  <c r="O109" i="6"/>
  <c r="I109" i="6"/>
  <c r="F109" i="6"/>
  <c r="E109" i="6"/>
  <c r="D109" i="6"/>
  <c r="J109" i="6" s="1"/>
  <c r="O108" i="6"/>
  <c r="S108" i="6" s="1"/>
  <c r="I108" i="6"/>
  <c r="F108" i="6"/>
  <c r="E108" i="6"/>
  <c r="D108" i="6"/>
  <c r="O107" i="6"/>
  <c r="I107" i="6"/>
  <c r="F107" i="6"/>
  <c r="E107" i="6"/>
  <c r="D107" i="6"/>
  <c r="O106" i="6"/>
  <c r="S106" i="6" s="1"/>
  <c r="I106" i="6"/>
  <c r="F106" i="6"/>
  <c r="E106" i="6"/>
  <c r="D106" i="6"/>
  <c r="O105" i="6"/>
  <c r="I105" i="6"/>
  <c r="F105" i="6"/>
  <c r="E105" i="6"/>
  <c r="D105" i="6"/>
  <c r="J105" i="6" s="1"/>
  <c r="O104" i="6"/>
  <c r="S104" i="6" s="1"/>
  <c r="I104" i="6"/>
  <c r="F104" i="6"/>
  <c r="E104" i="6"/>
  <c r="D104" i="6"/>
  <c r="O103" i="6"/>
  <c r="S103" i="6" s="1"/>
  <c r="I103" i="6"/>
  <c r="F103" i="6"/>
  <c r="E103" i="6"/>
  <c r="D103" i="6"/>
  <c r="J103" i="6" s="1"/>
  <c r="O102" i="6"/>
  <c r="I102" i="6"/>
  <c r="F102" i="6"/>
  <c r="E102" i="6"/>
  <c r="D102" i="6"/>
  <c r="J102" i="6" s="1"/>
  <c r="O101" i="6"/>
  <c r="I101" i="6"/>
  <c r="F101" i="6"/>
  <c r="E101" i="6"/>
  <c r="D101" i="6"/>
  <c r="J101" i="6" s="1"/>
  <c r="O100" i="6"/>
  <c r="I100" i="6"/>
  <c r="F100" i="6"/>
  <c r="E100" i="6"/>
  <c r="D100" i="6"/>
  <c r="J100" i="6" s="1"/>
  <c r="O99" i="6"/>
  <c r="S99" i="6" s="1"/>
  <c r="I99" i="6"/>
  <c r="F99" i="6"/>
  <c r="E99" i="6"/>
  <c r="D99" i="6"/>
  <c r="J99" i="6" s="1"/>
  <c r="O98" i="6"/>
  <c r="I98" i="6"/>
  <c r="F98" i="6"/>
  <c r="E98" i="6"/>
  <c r="D98" i="6"/>
  <c r="J98" i="6" s="1"/>
  <c r="O97" i="6"/>
  <c r="I97" i="6"/>
  <c r="F97" i="6"/>
  <c r="E97" i="6"/>
  <c r="D97" i="6"/>
  <c r="J97" i="6" s="1"/>
  <c r="O96" i="6"/>
  <c r="I96" i="6"/>
  <c r="F96" i="6"/>
  <c r="E96" i="6"/>
  <c r="D96" i="6"/>
  <c r="J96" i="6" s="1"/>
  <c r="O95" i="6"/>
  <c r="S95" i="6" s="1"/>
  <c r="I95" i="6"/>
  <c r="F95" i="6"/>
  <c r="E95" i="6"/>
  <c r="D95" i="6"/>
  <c r="Q95" i="6" s="1"/>
  <c r="O94" i="6"/>
  <c r="I94" i="6"/>
  <c r="F94" i="6"/>
  <c r="E94" i="6"/>
  <c r="D94" i="6"/>
  <c r="P94" i="6" s="1"/>
  <c r="O93" i="6"/>
  <c r="I93" i="6"/>
  <c r="F93" i="6"/>
  <c r="E93" i="6"/>
  <c r="D93" i="6"/>
  <c r="P93" i="6" s="1"/>
  <c r="O92" i="6"/>
  <c r="I92" i="6"/>
  <c r="F92" i="6"/>
  <c r="E92" i="6"/>
  <c r="D92" i="6"/>
  <c r="J92" i="6" s="1"/>
  <c r="O91" i="6"/>
  <c r="I91" i="6"/>
  <c r="F91" i="6"/>
  <c r="E91" i="6"/>
  <c r="D91" i="6"/>
  <c r="O90" i="6"/>
  <c r="S90" i="6" s="1"/>
  <c r="I90" i="6"/>
  <c r="F90" i="6"/>
  <c r="E90" i="6"/>
  <c r="D90" i="6"/>
  <c r="J90" i="6" s="1"/>
  <c r="O89" i="6"/>
  <c r="I89" i="6"/>
  <c r="F89" i="6"/>
  <c r="E89" i="6"/>
  <c r="D89" i="6"/>
  <c r="J89" i="6" s="1"/>
  <c r="O88" i="6"/>
  <c r="I88" i="6"/>
  <c r="F88" i="6"/>
  <c r="E88" i="6"/>
  <c r="D88" i="6"/>
  <c r="J88" i="6" s="1"/>
  <c r="O87" i="6"/>
  <c r="I87" i="6"/>
  <c r="F87" i="6"/>
  <c r="E87" i="6"/>
  <c r="D87" i="6"/>
  <c r="O86" i="6"/>
  <c r="S86" i="6" s="1"/>
  <c r="I86" i="6"/>
  <c r="F86" i="6"/>
  <c r="E86" i="6"/>
  <c r="D86" i="6"/>
  <c r="J86" i="6" s="1"/>
  <c r="O85" i="6"/>
  <c r="I85" i="6"/>
  <c r="F85" i="6"/>
  <c r="E85" i="6"/>
  <c r="D85" i="6"/>
  <c r="O84" i="6"/>
  <c r="I84" i="6"/>
  <c r="F84" i="6"/>
  <c r="E84" i="6"/>
  <c r="D84" i="6"/>
  <c r="O83" i="6"/>
  <c r="S83" i="6" s="1"/>
  <c r="I83" i="6"/>
  <c r="F83" i="6"/>
  <c r="E83" i="6"/>
  <c r="G83" i="6" s="1"/>
  <c r="D83" i="6"/>
  <c r="J83" i="6" s="1"/>
  <c r="O82" i="6"/>
  <c r="I82" i="6"/>
  <c r="F82" i="6"/>
  <c r="E82" i="6"/>
  <c r="D82" i="6"/>
  <c r="J82" i="6" s="1"/>
  <c r="O81" i="6"/>
  <c r="I81" i="6"/>
  <c r="F81" i="6"/>
  <c r="E81" i="6"/>
  <c r="G81" i="6" s="1"/>
  <c r="D81" i="6"/>
  <c r="J81" i="6" s="1"/>
  <c r="O80" i="6"/>
  <c r="S80" i="6" s="1"/>
  <c r="I80" i="6"/>
  <c r="F80" i="6"/>
  <c r="E80" i="6"/>
  <c r="D80" i="6"/>
  <c r="O79" i="6"/>
  <c r="S79" i="6" s="1"/>
  <c r="I79" i="6"/>
  <c r="F79" i="6"/>
  <c r="E79" i="6"/>
  <c r="D79" i="6"/>
  <c r="O78" i="6"/>
  <c r="I78" i="6"/>
  <c r="F78" i="6"/>
  <c r="E78" i="6"/>
  <c r="D78" i="6"/>
  <c r="P78" i="6" s="1"/>
  <c r="O77" i="6"/>
  <c r="I77" i="6"/>
  <c r="F77" i="6"/>
  <c r="E77" i="6"/>
  <c r="G77" i="6" s="1"/>
  <c r="D77" i="6"/>
  <c r="O76" i="6"/>
  <c r="S76" i="6" s="1"/>
  <c r="I76" i="6"/>
  <c r="F76" i="6"/>
  <c r="E76" i="6"/>
  <c r="D76" i="6"/>
  <c r="O75" i="6"/>
  <c r="I75" i="6"/>
  <c r="F75" i="6"/>
  <c r="E75" i="6"/>
  <c r="D75" i="6"/>
  <c r="O74" i="6"/>
  <c r="S74" i="6" s="1"/>
  <c r="I74" i="6"/>
  <c r="F74" i="6"/>
  <c r="E74" i="6"/>
  <c r="D74" i="6"/>
  <c r="J74" i="6" s="1"/>
  <c r="O73" i="6"/>
  <c r="I73" i="6"/>
  <c r="F73" i="6"/>
  <c r="E73" i="6"/>
  <c r="D73" i="6"/>
  <c r="J73" i="6" s="1"/>
  <c r="O72" i="6"/>
  <c r="I72" i="6"/>
  <c r="F72" i="6"/>
  <c r="E72" i="6"/>
  <c r="D72" i="6"/>
  <c r="O71" i="6"/>
  <c r="S71" i="6" s="1"/>
  <c r="I71" i="6"/>
  <c r="F71" i="6"/>
  <c r="E71" i="6"/>
  <c r="G71" i="6" s="1"/>
  <c r="D71" i="6"/>
  <c r="J71" i="6" s="1"/>
  <c r="O70" i="6"/>
  <c r="S70" i="6" s="1"/>
  <c r="I70" i="6"/>
  <c r="F70" i="6"/>
  <c r="E70" i="6"/>
  <c r="D70" i="6"/>
  <c r="O69" i="6"/>
  <c r="I69" i="6"/>
  <c r="F69" i="6"/>
  <c r="E69" i="6"/>
  <c r="D69" i="6"/>
  <c r="P69" i="6" s="1"/>
  <c r="O68" i="6"/>
  <c r="S68" i="6" s="1"/>
  <c r="I68" i="6"/>
  <c r="F68" i="6"/>
  <c r="E68" i="6"/>
  <c r="D68" i="6"/>
  <c r="O67" i="6"/>
  <c r="I67" i="6"/>
  <c r="F67" i="6"/>
  <c r="E67" i="6"/>
  <c r="D67" i="6"/>
  <c r="J67" i="6" s="1"/>
  <c r="O66" i="6"/>
  <c r="I66" i="6"/>
  <c r="F66" i="6"/>
  <c r="E66" i="6"/>
  <c r="D66" i="6"/>
  <c r="O65" i="6"/>
  <c r="I65" i="6"/>
  <c r="F65" i="6"/>
  <c r="E65" i="6"/>
  <c r="D65" i="6"/>
  <c r="J65" i="6" s="1"/>
  <c r="O64" i="6"/>
  <c r="S64" i="6" s="1"/>
  <c r="I64" i="6"/>
  <c r="F64" i="6"/>
  <c r="E64" i="6"/>
  <c r="D64" i="6"/>
  <c r="O63" i="6"/>
  <c r="S63" i="6" s="1"/>
  <c r="I63" i="6"/>
  <c r="F63" i="6"/>
  <c r="E63" i="6"/>
  <c r="D63" i="6"/>
  <c r="J63" i="6" s="1"/>
  <c r="O62" i="6"/>
  <c r="I62" i="6"/>
  <c r="F62" i="6"/>
  <c r="E62" i="6"/>
  <c r="D62" i="6"/>
  <c r="O61" i="6"/>
  <c r="I61" i="6"/>
  <c r="F61" i="6"/>
  <c r="E61" i="6"/>
  <c r="D61" i="6"/>
  <c r="O60" i="6"/>
  <c r="I60" i="6"/>
  <c r="F60" i="6"/>
  <c r="E60" i="6"/>
  <c r="D60" i="6"/>
  <c r="O59" i="6"/>
  <c r="I59" i="6"/>
  <c r="F59" i="6"/>
  <c r="E59" i="6"/>
  <c r="G59" i="6" s="1"/>
  <c r="D59" i="6"/>
  <c r="J59" i="6" s="1"/>
  <c r="O58" i="6"/>
  <c r="I58" i="6"/>
  <c r="F58" i="6"/>
  <c r="E58" i="6"/>
  <c r="D58" i="6"/>
  <c r="J58" i="6" s="1"/>
  <c r="O57" i="6"/>
  <c r="I57" i="6"/>
  <c r="F57" i="6"/>
  <c r="E57" i="6"/>
  <c r="D57" i="6"/>
  <c r="J57" i="6" s="1"/>
  <c r="O56" i="6"/>
  <c r="S56" i="6" s="1"/>
  <c r="I56" i="6"/>
  <c r="F56" i="6"/>
  <c r="E56" i="6"/>
  <c r="D56" i="6"/>
  <c r="O55" i="6"/>
  <c r="S55" i="6" s="1"/>
  <c r="I55" i="6"/>
  <c r="F55" i="6"/>
  <c r="E55" i="6"/>
  <c r="D55" i="6"/>
  <c r="O54" i="6"/>
  <c r="I54" i="6"/>
  <c r="F54" i="6"/>
  <c r="E54" i="6"/>
  <c r="D54" i="6"/>
  <c r="J54" i="6" s="1"/>
  <c r="O53" i="6"/>
  <c r="I53" i="6"/>
  <c r="F53" i="6"/>
  <c r="E53" i="6"/>
  <c r="G53" i="6" s="1"/>
  <c r="D53" i="6"/>
  <c r="O52" i="6"/>
  <c r="S52" i="6" s="1"/>
  <c r="I52" i="6"/>
  <c r="F52" i="6"/>
  <c r="E52" i="6"/>
  <c r="G52" i="6" s="1"/>
  <c r="D52" i="6"/>
  <c r="O51" i="6"/>
  <c r="I51" i="6"/>
  <c r="F51" i="6"/>
  <c r="E51" i="6"/>
  <c r="D51" i="6"/>
  <c r="Q51" i="6" s="1"/>
  <c r="O50" i="6"/>
  <c r="I50" i="6"/>
  <c r="F50" i="6"/>
  <c r="E50" i="6"/>
  <c r="D50" i="6"/>
  <c r="J50" i="6" s="1"/>
  <c r="O49" i="6"/>
  <c r="I49" i="6"/>
  <c r="F49" i="6"/>
  <c r="E49" i="6"/>
  <c r="D49" i="6"/>
  <c r="O48" i="6"/>
  <c r="S48" i="6" s="1"/>
  <c r="I48" i="6"/>
  <c r="F48" i="6"/>
  <c r="E48" i="6"/>
  <c r="D48" i="6"/>
  <c r="O47" i="6"/>
  <c r="S47" i="6" s="1"/>
  <c r="I47" i="6"/>
  <c r="F47" i="6"/>
  <c r="E47" i="6"/>
  <c r="D47" i="6"/>
  <c r="O46" i="6"/>
  <c r="S46" i="6" s="1"/>
  <c r="I46" i="6"/>
  <c r="F46" i="6"/>
  <c r="E46" i="6"/>
  <c r="D46" i="6"/>
  <c r="J46" i="6" s="1"/>
  <c r="O45" i="6"/>
  <c r="I45" i="6"/>
  <c r="F45" i="6"/>
  <c r="E45" i="6"/>
  <c r="G45" i="6" s="1"/>
  <c r="D45" i="6"/>
  <c r="J45" i="6" s="1"/>
  <c r="O44" i="6"/>
  <c r="S44" i="6" s="1"/>
  <c r="I44" i="6"/>
  <c r="F44" i="6"/>
  <c r="E44" i="6"/>
  <c r="D44" i="6"/>
  <c r="O43" i="6"/>
  <c r="S43" i="6" s="1"/>
  <c r="I43" i="6"/>
  <c r="F43" i="6"/>
  <c r="E43" i="6"/>
  <c r="D43" i="6"/>
  <c r="J43" i="6" s="1"/>
  <c r="O42" i="6"/>
  <c r="S42" i="6" s="1"/>
  <c r="I42" i="6"/>
  <c r="F42" i="6"/>
  <c r="E42" i="6"/>
  <c r="D42" i="6"/>
  <c r="O41" i="6"/>
  <c r="I41" i="6"/>
  <c r="F41" i="6"/>
  <c r="E41" i="6"/>
  <c r="G41" i="6" s="1"/>
  <c r="D41" i="6"/>
  <c r="J41" i="6" s="1"/>
  <c r="O40" i="6"/>
  <c r="S40" i="6" s="1"/>
  <c r="I40" i="6"/>
  <c r="F40" i="6"/>
  <c r="E40" i="6"/>
  <c r="D40" i="6"/>
  <c r="J40" i="6" s="1"/>
  <c r="O39" i="6"/>
  <c r="S39" i="6" s="1"/>
  <c r="I39" i="6"/>
  <c r="F39" i="6"/>
  <c r="E39" i="6"/>
  <c r="D39" i="6"/>
  <c r="O38" i="6"/>
  <c r="I38" i="6"/>
  <c r="F38" i="6"/>
  <c r="E38" i="6"/>
  <c r="D38" i="6"/>
  <c r="P38" i="6" s="1"/>
  <c r="O37" i="6"/>
  <c r="I37" i="6"/>
  <c r="F37" i="6"/>
  <c r="E37" i="6"/>
  <c r="D37" i="6"/>
  <c r="O36" i="6"/>
  <c r="S36" i="6" s="1"/>
  <c r="I36" i="6"/>
  <c r="F36" i="6"/>
  <c r="E36" i="6"/>
  <c r="D36" i="6"/>
  <c r="O35" i="6"/>
  <c r="I35" i="6"/>
  <c r="F35" i="6"/>
  <c r="E35" i="6"/>
  <c r="D35" i="6"/>
  <c r="J35" i="6" s="1"/>
  <c r="O34" i="6"/>
  <c r="I34" i="6"/>
  <c r="F34" i="6"/>
  <c r="E34" i="6"/>
  <c r="D34" i="6"/>
  <c r="J34" i="6" s="1"/>
  <c r="O33" i="6"/>
  <c r="I33" i="6"/>
  <c r="F33" i="6"/>
  <c r="E33" i="6"/>
  <c r="D33" i="6"/>
  <c r="J33" i="6" s="1"/>
  <c r="O32" i="6"/>
  <c r="S32" i="6" s="1"/>
  <c r="I32" i="6"/>
  <c r="F32" i="6"/>
  <c r="E32" i="6"/>
  <c r="D32" i="6"/>
  <c r="J32" i="6" s="1"/>
  <c r="O31" i="6"/>
  <c r="S31" i="6" s="1"/>
  <c r="I31" i="6"/>
  <c r="F31" i="6"/>
  <c r="E31" i="6"/>
  <c r="D31" i="6"/>
  <c r="J31" i="6" s="1"/>
  <c r="O30" i="6"/>
  <c r="I30" i="6"/>
  <c r="F30" i="6"/>
  <c r="E30" i="6"/>
  <c r="D30" i="6"/>
  <c r="J30" i="6" s="1"/>
  <c r="O29" i="6"/>
  <c r="I29" i="6"/>
  <c r="F29" i="6"/>
  <c r="E29" i="6"/>
  <c r="D29" i="6"/>
  <c r="O28" i="6"/>
  <c r="S28" i="6" s="1"/>
  <c r="I28" i="6"/>
  <c r="F28" i="6"/>
  <c r="E28" i="6"/>
  <c r="D28" i="6"/>
  <c r="Q28" i="6" s="1"/>
  <c r="O27" i="6"/>
  <c r="S27" i="6" s="1"/>
  <c r="I27" i="6"/>
  <c r="F27" i="6"/>
  <c r="E27" i="6"/>
  <c r="D27" i="6"/>
  <c r="Q27" i="6" s="1"/>
  <c r="O26" i="6"/>
  <c r="S26" i="6" s="1"/>
  <c r="I26" i="6"/>
  <c r="F26" i="6"/>
  <c r="E26" i="6"/>
  <c r="D26" i="6"/>
  <c r="J26" i="6" s="1"/>
  <c r="O25" i="6"/>
  <c r="I25" i="6"/>
  <c r="F25" i="6"/>
  <c r="E25" i="6"/>
  <c r="D25" i="6"/>
  <c r="O24" i="6"/>
  <c r="S24" i="6" s="1"/>
  <c r="I24" i="6"/>
  <c r="F24" i="6"/>
  <c r="E24" i="6"/>
  <c r="G24" i="6" s="1"/>
  <c r="D24" i="6"/>
  <c r="O23" i="6"/>
  <c r="S23" i="6" s="1"/>
  <c r="I23" i="6"/>
  <c r="F23" i="6"/>
  <c r="E23" i="6"/>
  <c r="D23" i="6"/>
  <c r="O22" i="6"/>
  <c r="I22" i="6"/>
  <c r="F22" i="6"/>
  <c r="E22" i="6"/>
  <c r="D22" i="6"/>
  <c r="O21" i="6"/>
  <c r="I21" i="6"/>
  <c r="F21" i="6"/>
  <c r="E21" i="6"/>
  <c r="D21" i="6"/>
  <c r="J21" i="6" s="1"/>
  <c r="O20" i="6"/>
  <c r="S20" i="6" s="1"/>
  <c r="I20" i="6"/>
  <c r="F20" i="6"/>
  <c r="E20" i="6"/>
  <c r="D20" i="6"/>
  <c r="O19" i="6"/>
  <c r="S19" i="6" s="1"/>
  <c r="I19" i="6"/>
  <c r="F19" i="6"/>
  <c r="E19" i="6"/>
  <c r="D19" i="6"/>
  <c r="J19" i="6" s="1"/>
  <c r="O18" i="6"/>
  <c r="I18" i="6"/>
  <c r="F18" i="6"/>
  <c r="E18" i="6"/>
  <c r="D18" i="6"/>
  <c r="O17" i="6"/>
  <c r="I17" i="6"/>
  <c r="F17" i="6"/>
  <c r="E17" i="6"/>
  <c r="D17" i="6"/>
  <c r="Q17" i="6" s="1"/>
  <c r="O16" i="6"/>
  <c r="S16" i="6" s="1"/>
  <c r="I16" i="6"/>
  <c r="F16" i="6"/>
  <c r="E16" i="6"/>
  <c r="D16" i="6"/>
  <c r="O15" i="6"/>
  <c r="S15" i="6" s="1"/>
  <c r="I15" i="6"/>
  <c r="F15" i="6"/>
  <c r="E15" i="6"/>
  <c r="D15" i="6"/>
  <c r="O14" i="6"/>
  <c r="S14" i="6" s="1"/>
  <c r="I14" i="6"/>
  <c r="F14" i="6"/>
  <c r="E14" i="6"/>
  <c r="D14" i="6"/>
  <c r="J14" i="6" s="1"/>
  <c r="O13" i="6"/>
  <c r="I13" i="6"/>
  <c r="F13" i="6"/>
  <c r="E13" i="6"/>
  <c r="G13" i="6" s="1"/>
  <c r="D13" i="6"/>
  <c r="P13" i="6" s="1"/>
  <c r="O12" i="6"/>
  <c r="S12" i="6" s="1"/>
  <c r="I12" i="6"/>
  <c r="F12" i="6"/>
  <c r="E12" i="6"/>
  <c r="D12" i="6"/>
  <c r="O11" i="6"/>
  <c r="S11" i="6" s="1"/>
  <c r="I11" i="6"/>
  <c r="F11" i="6"/>
  <c r="E11" i="6"/>
  <c r="D11" i="6"/>
  <c r="O10" i="6"/>
  <c r="I10" i="6"/>
  <c r="F10" i="6"/>
  <c r="E10" i="6"/>
  <c r="D10" i="6"/>
  <c r="P10" i="6" s="1"/>
  <c r="O9" i="6"/>
  <c r="I9" i="6"/>
  <c r="F9" i="6"/>
  <c r="E9" i="6"/>
  <c r="D9" i="6"/>
  <c r="J9" i="6" s="1"/>
  <c r="O8" i="6"/>
  <c r="S8" i="6" s="1"/>
  <c r="I8" i="6"/>
  <c r="F8" i="6"/>
  <c r="E8" i="6"/>
  <c r="D8" i="6"/>
  <c r="O7" i="6"/>
  <c r="S7" i="6" s="1"/>
  <c r="I7" i="6"/>
  <c r="F7" i="6"/>
  <c r="E7" i="6"/>
  <c r="D7" i="6"/>
  <c r="O6" i="6"/>
  <c r="I6" i="6"/>
  <c r="F6" i="6"/>
  <c r="E6" i="6"/>
  <c r="D6" i="6"/>
  <c r="O5" i="6"/>
  <c r="I5" i="6"/>
  <c r="F5" i="6"/>
  <c r="E5" i="6"/>
  <c r="D5" i="6"/>
  <c r="P5" i="6" s="1"/>
  <c r="O4" i="6"/>
  <c r="S4" i="6" s="1"/>
  <c r="I4" i="6"/>
  <c r="F4" i="6"/>
  <c r="E4" i="6"/>
  <c r="D4" i="6"/>
  <c r="I3" i="6"/>
  <c r="F3" i="6"/>
  <c r="E3" i="6"/>
  <c r="D3" i="6"/>
  <c r="J3" i="6" s="1"/>
  <c r="Y5" i="4"/>
  <c r="Y6" i="4"/>
  <c r="Y11" i="4"/>
  <c r="Y16" i="4"/>
  <c r="Y17" i="4"/>
  <c r="Y18" i="4"/>
  <c r="Y23" i="4"/>
  <c r="Y28" i="4"/>
  <c r="Y29" i="4"/>
  <c r="Y30" i="4"/>
  <c r="Y35" i="4"/>
  <c r="Y39" i="4"/>
  <c r="Y40" i="4"/>
  <c r="Y41" i="4"/>
  <c r="Y42" i="4"/>
  <c r="Y47" i="4"/>
  <c r="Y52" i="4"/>
  <c r="Y53" i="4"/>
  <c r="Y54" i="4"/>
  <c r="Y59" i="4"/>
  <c r="Y63" i="4"/>
  <c r="Y64" i="4"/>
  <c r="Y65" i="4"/>
  <c r="Y66" i="4"/>
  <c r="Y71" i="4"/>
  <c r="Y76" i="4"/>
  <c r="Y77" i="4"/>
  <c r="Y78" i="4"/>
  <c r="Y83" i="4"/>
  <c r="Y88" i="4"/>
  <c r="Y89" i="4"/>
  <c r="Y90" i="4"/>
  <c r="Y95" i="4"/>
  <c r="Y100" i="4"/>
  <c r="Y101" i="4"/>
  <c r="Y102" i="4"/>
  <c r="Y107" i="4"/>
  <c r="Y112" i="4"/>
  <c r="Y113" i="4"/>
  <c r="Y114" i="4"/>
  <c r="Y119" i="4"/>
  <c r="Y123" i="4"/>
  <c r="Y124" i="4"/>
  <c r="Y125" i="4"/>
  <c r="Y126" i="4"/>
  <c r="Y131" i="4"/>
  <c r="Y136" i="4"/>
  <c r="Y137" i="4"/>
  <c r="Y138" i="4"/>
  <c r="Y143" i="4"/>
  <c r="Y148" i="4"/>
  <c r="Y149" i="4"/>
  <c r="Y150" i="4"/>
  <c r="Y155" i="4"/>
  <c r="Y160" i="4"/>
  <c r="Y161" i="4"/>
  <c r="Y162" i="4"/>
  <c r="Y167" i="4"/>
  <c r="Y172" i="4"/>
  <c r="Y173" i="4"/>
  <c r="Y174" i="4"/>
  <c r="Y179" i="4"/>
  <c r="Y183" i="4"/>
  <c r="Y184" i="4"/>
  <c r="Y185" i="4"/>
  <c r="Y186" i="4"/>
  <c r="Y191" i="4"/>
  <c r="Y196" i="4"/>
  <c r="Y197" i="4"/>
  <c r="Y198" i="4"/>
  <c r="Y202" i="4"/>
  <c r="Y203" i="4"/>
  <c r="Y207" i="4"/>
  <c r="Y208" i="4"/>
  <c r="Y209" i="4"/>
  <c r="Y210" i="4"/>
  <c r="Y215" i="4"/>
  <c r="Y220" i="4"/>
  <c r="Y221" i="4"/>
  <c r="Y222" i="4"/>
  <c r="Y226" i="4"/>
  <c r="Y227" i="4"/>
  <c r="Y231" i="4"/>
  <c r="Y232" i="4"/>
  <c r="Y233" i="4"/>
  <c r="Y234" i="4"/>
  <c r="Y239" i="4"/>
  <c r="Y244" i="4"/>
  <c r="Y245" i="4"/>
  <c r="Y246" i="4"/>
  <c r="T5" i="4"/>
  <c r="T6" i="4"/>
  <c r="T7" i="4"/>
  <c r="Y7" i="4" s="1"/>
  <c r="T8" i="4"/>
  <c r="Y8" i="4" s="1"/>
  <c r="T9" i="4"/>
  <c r="T10" i="4"/>
  <c r="T11" i="4"/>
  <c r="T12" i="4"/>
  <c r="Y12" i="4" s="1"/>
  <c r="T13" i="4"/>
  <c r="Y13" i="4" s="1"/>
  <c r="T14" i="4"/>
  <c r="Y14" i="4" s="1"/>
  <c r="T15" i="4"/>
  <c r="Y15" i="4" s="1"/>
  <c r="T16" i="4"/>
  <c r="T17" i="4"/>
  <c r="T18" i="4"/>
  <c r="T19" i="4"/>
  <c r="Y19" i="4" s="1"/>
  <c r="T20" i="4"/>
  <c r="Y20" i="4" s="1"/>
  <c r="T21" i="4"/>
  <c r="T22" i="4"/>
  <c r="T23" i="4"/>
  <c r="T24" i="4"/>
  <c r="Y24" i="4" s="1"/>
  <c r="T25" i="4"/>
  <c r="Y25" i="4" s="1"/>
  <c r="T26" i="4"/>
  <c r="Y26" i="4" s="1"/>
  <c r="T27" i="4"/>
  <c r="T28" i="4"/>
  <c r="T29" i="4"/>
  <c r="T30" i="4"/>
  <c r="T31" i="4"/>
  <c r="Y31" i="4" s="1"/>
  <c r="T32" i="4"/>
  <c r="Y32" i="4" s="1"/>
  <c r="T33" i="4"/>
  <c r="Y33" i="4" s="1"/>
  <c r="T34" i="4"/>
  <c r="Y34" i="4" s="1"/>
  <c r="T35" i="4"/>
  <c r="T36" i="4"/>
  <c r="Y36" i="4" s="1"/>
  <c r="T37" i="4"/>
  <c r="Y37" i="4" s="1"/>
  <c r="T38" i="4"/>
  <c r="Y38" i="4" s="1"/>
  <c r="T39" i="4"/>
  <c r="T40" i="4"/>
  <c r="T41" i="4"/>
  <c r="T42" i="4"/>
  <c r="T43" i="4"/>
  <c r="Y43" i="4" s="1"/>
  <c r="T44" i="4"/>
  <c r="Y44" i="4" s="1"/>
  <c r="T45" i="4"/>
  <c r="Y45" i="4" s="1"/>
  <c r="T46" i="4"/>
  <c r="Y46" i="4" s="1"/>
  <c r="T47" i="4"/>
  <c r="T48" i="4"/>
  <c r="Y48" i="4" s="1"/>
  <c r="T49" i="4"/>
  <c r="Y49" i="4" s="1"/>
  <c r="T50" i="4"/>
  <c r="Y50" i="4" s="1"/>
  <c r="T51" i="4"/>
  <c r="Y51" i="4" s="1"/>
  <c r="T52" i="4"/>
  <c r="T53" i="4"/>
  <c r="T54" i="4"/>
  <c r="T55" i="4"/>
  <c r="Y55" i="4" s="1"/>
  <c r="T56" i="4"/>
  <c r="Y56" i="4" s="1"/>
  <c r="T57" i="4"/>
  <c r="Y57" i="4" s="1"/>
  <c r="T58" i="4"/>
  <c r="Y58" i="4" s="1"/>
  <c r="T59" i="4"/>
  <c r="T60" i="4"/>
  <c r="Y60" i="4" s="1"/>
  <c r="T61" i="4"/>
  <c r="Y61" i="4" s="1"/>
  <c r="T62" i="4"/>
  <c r="Y62" i="4" s="1"/>
  <c r="T63" i="4"/>
  <c r="T64" i="4"/>
  <c r="T65" i="4"/>
  <c r="T66" i="4"/>
  <c r="T67" i="4"/>
  <c r="Y67" i="4" s="1"/>
  <c r="T68" i="4"/>
  <c r="Y68" i="4" s="1"/>
  <c r="T69" i="4"/>
  <c r="Y69" i="4" s="1"/>
  <c r="T70" i="4"/>
  <c r="Y70" i="4" s="1"/>
  <c r="T71" i="4"/>
  <c r="T72" i="4"/>
  <c r="Y72" i="4" s="1"/>
  <c r="T73" i="4"/>
  <c r="Y73" i="4" s="1"/>
  <c r="T74" i="4"/>
  <c r="Y74" i="4" s="1"/>
  <c r="T75" i="4"/>
  <c r="Y75" i="4" s="1"/>
  <c r="T76" i="4"/>
  <c r="T77" i="4"/>
  <c r="T78" i="4"/>
  <c r="T79" i="4"/>
  <c r="Y79" i="4" s="1"/>
  <c r="T80" i="4"/>
  <c r="Y80" i="4" s="1"/>
  <c r="T81" i="4"/>
  <c r="Y81" i="4" s="1"/>
  <c r="T82" i="4"/>
  <c r="Y82" i="4" s="1"/>
  <c r="T83" i="4"/>
  <c r="T84" i="4"/>
  <c r="Y84" i="4" s="1"/>
  <c r="T85" i="4"/>
  <c r="Y85" i="4" s="1"/>
  <c r="T86" i="4"/>
  <c r="Y86" i="4" s="1"/>
  <c r="T87" i="4"/>
  <c r="Y87" i="4" s="1"/>
  <c r="T88" i="4"/>
  <c r="T89" i="4"/>
  <c r="T90" i="4"/>
  <c r="T91" i="4"/>
  <c r="Y91" i="4" s="1"/>
  <c r="T92" i="4"/>
  <c r="Y92" i="4" s="1"/>
  <c r="T93" i="4"/>
  <c r="Y93" i="4" s="1"/>
  <c r="T94" i="4"/>
  <c r="Y94" i="4" s="1"/>
  <c r="T95" i="4"/>
  <c r="T96" i="4"/>
  <c r="Y96" i="4" s="1"/>
  <c r="T97" i="4"/>
  <c r="Y97" i="4" s="1"/>
  <c r="T98" i="4"/>
  <c r="Y98" i="4" s="1"/>
  <c r="T99" i="4"/>
  <c r="Y99" i="4" s="1"/>
  <c r="T100" i="4"/>
  <c r="T101" i="4"/>
  <c r="T102" i="4"/>
  <c r="T103" i="4"/>
  <c r="Y103" i="4" s="1"/>
  <c r="T104" i="4"/>
  <c r="Y104" i="4" s="1"/>
  <c r="T105" i="4"/>
  <c r="Y105" i="4" s="1"/>
  <c r="T106" i="4"/>
  <c r="Y106" i="4" s="1"/>
  <c r="T107" i="4"/>
  <c r="T108" i="4"/>
  <c r="Y108" i="4" s="1"/>
  <c r="T109" i="4"/>
  <c r="Y109" i="4" s="1"/>
  <c r="T110" i="4"/>
  <c r="Y110" i="4" s="1"/>
  <c r="T111" i="4"/>
  <c r="Y111" i="4" s="1"/>
  <c r="T112" i="4"/>
  <c r="T113" i="4"/>
  <c r="T114" i="4"/>
  <c r="T115" i="4"/>
  <c r="Y115" i="4" s="1"/>
  <c r="T116" i="4"/>
  <c r="Y116" i="4" s="1"/>
  <c r="T117" i="4"/>
  <c r="Y117" i="4" s="1"/>
  <c r="T118" i="4"/>
  <c r="Y118" i="4" s="1"/>
  <c r="T119" i="4"/>
  <c r="T120" i="4"/>
  <c r="Y120" i="4" s="1"/>
  <c r="T121" i="4"/>
  <c r="Y121" i="4" s="1"/>
  <c r="T122" i="4"/>
  <c r="Y122" i="4" s="1"/>
  <c r="T123" i="4"/>
  <c r="T124" i="4"/>
  <c r="T125" i="4"/>
  <c r="T126" i="4"/>
  <c r="T127" i="4"/>
  <c r="Y127" i="4" s="1"/>
  <c r="T128" i="4"/>
  <c r="Y128" i="4" s="1"/>
  <c r="T129" i="4"/>
  <c r="Y129" i="4" s="1"/>
  <c r="T130" i="4"/>
  <c r="Y130" i="4" s="1"/>
  <c r="T131" i="4"/>
  <c r="T132" i="4"/>
  <c r="Y132" i="4" s="1"/>
  <c r="T133" i="4"/>
  <c r="Y133" i="4" s="1"/>
  <c r="T134" i="4"/>
  <c r="Y134" i="4" s="1"/>
  <c r="T135" i="4"/>
  <c r="Y135" i="4" s="1"/>
  <c r="T136" i="4"/>
  <c r="T137" i="4"/>
  <c r="T138" i="4"/>
  <c r="T139" i="4"/>
  <c r="Y139" i="4" s="1"/>
  <c r="T140" i="4"/>
  <c r="Y140" i="4" s="1"/>
  <c r="T141" i="4"/>
  <c r="Y141" i="4" s="1"/>
  <c r="T142" i="4"/>
  <c r="Y142" i="4" s="1"/>
  <c r="T143" i="4"/>
  <c r="T144" i="4"/>
  <c r="Y144" i="4" s="1"/>
  <c r="T145" i="4"/>
  <c r="Y145" i="4" s="1"/>
  <c r="T146" i="4"/>
  <c r="Y146" i="4" s="1"/>
  <c r="T147" i="4"/>
  <c r="Y147" i="4" s="1"/>
  <c r="T148" i="4"/>
  <c r="T149" i="4"/>
  <c r="T150" i="4"/>
  <c r="T151" i="4"/>
  <c r="Y151" i="4" s="1"/>
  <c r="T152" i="4"/>
  <c r="Y152" i="4" s="1"/>
  <c r="T153" i="4"/>
  <c r="Y153" i="4" s="1"/>
  <c r="T154" i="4"/>
  <c r="Y154" i="4" s="1"/>
  <c r="T155" i="4"/>
  <c r="T156" i="4"/>
  <c r="Y156" i="4" s="1"/>
  <c r="T157" i="4"/>
  <c r="Y157" i="4" s="1"/>
  <c r="T158" i="4"/>
  <c r="Y158" i="4" s="1"/>
  <c r="T159" i="4"/>
  <c r="Y159" i="4" s="1"/>
  <c r="T160" i="4"/>
  <c r="T161" i="4"/>
  <c r="T162" i="4"/>
  <c r="T163" i="4"/>
  <c r="Y163" i="4" s="1"/>
  <c r="T164" i="4"/>
  <c r="Y164" i="4" s="1"/>
  <c r="T165" i="4"/>
  <c r="Y165" i="4" s="1"/>
  <c r="T166" i="4"/>
  <c r="Y166" i="4" s="1"/>
  <c r="T167" i="4"/>
  <c r="T168" i="4"/>
  <c r="Y168" i="4" s="1"/>
  <c r="T169" i="4"/>
  <c r="Y169" i="4" s="1"/>
  <c r="T170" i="4"/>
  <c r="Y170" i="4" s="1"/>
  <c r="T171" i="4"/>
  <c r="Y171" i="4" s="1"/>
  <c r="T172" i="4"/>
  <c r="T173" i="4"/>
  <c r="T174" i="4"/>
  <c r="T175" i="4"/>
  <c r="Y175" i="4" s="1"/>
  <c r="T176" i="4"/>
  <c r="Y176" i="4" s="1"/>
  <c r="T177" i="4"/>
  <c r="Y177" i="4" s="1"/>
  <c r="T178" i="4"/>
  <c r="Y178" i="4" s="1"/>
  <c r="T179" i="4"/>
  <c r="T180" i="4"/>
  <c r="Y180" i="4" s="1"/>
  <c r="T181" i="4"/>
  <c r="Y181" i="4" s="1"/>
  <c r="T182" i="4"/>
  <c r="Y182" i="4" s="1"/>
  <c r="T183" i="4"/>
  <c r="T184" i="4"/>
  <c r="T185" i="4"/>
  <c r="T186" i="4"/>
  <c r="T187" i="4"/>
  <c r="Y187" i="4" s="1"/>
  <c r="T188" i="4"/>
  <c r="Y188" i="4" s="1"/>
  <c r="T189" i="4"/>
  <c r="Y189" i="4" s="1"/>
  <c r="T190" i="4"/>
  <c r="Y190" i="4" s="1"/>
  <c r="T191" i="4"/>
  <c r="T192" i="4"/>
  <c r="Y192" i="4" s="1"/>
  <c r="T193" i="4"/>
  <c r="Y193" i="4" s="1"/>
  <c r="T194" i="4"/>
  <c r="Y194" i="4" s="1"/>
  <c r="T195" i="4"/>
  <c r="Y195" i="4" s="1"/>
  <c r="T196" i="4"/>
  <c r="T197" i="4"/>
  <c r="T198" i="4"/>
  <c r="T199" i="4"/>
  <c r="Y199" i="4" s="1"/>
  <c r="T200" i="4"/>
  <c r="Y200" i="4" s="1"/>
  <c r="T201" i="4"/>
  <c r="Y201" i="4" s="1"/>
  <c r="T202" i="4"/>
  <c r="T203" i="4"/>
  <c r="T204" i="4"/>
  <c r="Y204" i="4" s="1"/>
  <c r="T205" i="4"/>
  <c r="Y205" i="4" s="1"/>
  <c r="T206" i="4"/>
  <c r="Y206" i="4" s="1"/>
  <c r="T207" i="4"/>
  <c r="T208" i="4"/>
  <c r="T209" i="4"/>
  <c r="T210" i="4"/>
  <c r="T211" i="4"/>
  <c r="Y211" i="4" s="1"/>
  <c r="T212" i="4"/>
  <c r="Y212" i="4" s="1"/>
  <c r="T213" i="4"/>
  <c r="Y213" i="4" s="1"/>
  <c r="T214" i="4"/>
  <c r="Y214" i="4" s="1"/>
  <c r="T215" i="4"/>
  <c r="T216" i="4"/>
  <c r="Y216" i="4" s="1"/>
  <c r="T217" i="4"/>
  <c r="Y217" i="4" s="1"/>
  <c r="T218" i="4"/>
  <c r="Y218" i="4" s="1"/>
  <c r="T219" i="4"/>
  <c r="Y219" i="4" s="1"/>
  <c r="T220" i="4"/>
  <c r="T221" i="4"/>
  <c r="T222" i="4"/>
  <c r="T223" i="4"/>
  <c r="Y223" i="4" s="1"/>
  <c r="T224" i="4"/>
  <c r="Y224" i="4" s="1"/>
  <c r="T225" i="4"/>
  <c r="Y225" i="4" s="1"/>
  <c r="T226" i="4"/>
  <c r="T227" i="4"/>
  <c r="T228" i="4"/>
  <c r="Y228" i="4" s="1"/>
  <c r="T229" i="4"/>
  <c r="Y229" i="4" s="1"/>
  <c r="T230" i="4"/>
  <c r="Y230" i="4" s="1"/>
  <c r="T231" i="4"/>
  <c r="T232" i="4"/>
  <c r="T233" i="4"/>
  <c r="T234" i="4"/>
  <c r="T235" i="4"/>
  <c r="Y235" i="4" s="1"/>
  <c r="T236" i="4"/>
  <c r="Y236" i="4" s="1"/>
  <c r="T237" i="4"/>
  <c r="Y237" i="4" s="1"/>
  <c r="T238" i="4"/>
  <c r="Y238" i="4" s="1"/>
  <c r="T239" i="4"/>
  <c r="T240" i="4"/>
  <c r="Y240" i="4" s="1"/>
  <c r="T241" i="4"/>
  <c r="Y241" i="4" s="1"/>
  <c r="T242" i="4"/>
  <c r="Y242" i="4" s="1"/>
  <c r="T243" i="4"/>
  <c r="Y243" i="4" s="1"/>
  <c r="T244" i="4"/>
  <c r="T245" i="4"/>
  <c r="T246" i="4"/>
  <c r="T4" i="4"/>
  <c r="R87" i="6" l="1"/>
  <c r="Q13" i="6"/>
  <c r="G43" i="6"/>
  <c r="G91" i="6"/>
  <c r="Y27" i="4"/>
  <c r="Y22" i="4"/>
  <c r="Y10" i="4"/>
  <c r="Y21" i="4"/>
  <c r="Y9" i="4"/>
  <c r="Y4" i="4"/>
  <c r="G216" i="6"/>
  <c r="R167" i="6"/>
  <c r="P177" i="6"/>
  <c r="Q177" i="6"/>
  <c r="G180" i="6"/>
  <c r="Q101" i="6"/>
  <c r="G95" i="6"/>
  <c r="R72" i="6"/>
  <c r="G68" i="6"/>
  <c r="G80" i="6"/>
  <c r="G62" i="6"/>
  <c r="S167" i="6"/>
  <c r="R140" i="6"/>
  <c r="G162" i="6"/>
  <c r="G20" i="6"/>
  <c r="G127" i="6"/>
  <c r="J204" i="6"/>
  <c r="Q204" i="6"/>
  <c r="J213" i="6"/>
  <c r="G204" i="6"/>
  <c r="J196" i="6"/>
  <c r="J85" i="6"/>
  <c r="Q85" i="6"/>
  <c r="Q136" i="6"/>
  <c r="J136" i="6"/>
  <c r="G182" i="6"/>
  <c r="G35" i="6"/>
  <c r="R94" i="6"/>
  <c r="Q169" i="6"/>
  <c r="R92" i="6"/>
  <c r="R211" i="6"/>
  <c r="G235" i="6"/>
  <c r="R38" i="6"/>
  <c r="G67" i="6"/>
  <c r="R183" i="6"/>
  <c r="G228" i="6"/>
  <c r="G150" i="6"/>
  <c r="Q155" i="6"/>
  <c r="J155" i="6"/>
  <c r="R180" i="6"/>
  <c r="J199" i="6"/>
  <c r="J224" i="6"/>
  <c r="Q224" i="6"/>
  <c r="J226" i="6"/>
  <c r="J37" i="6"/>
  <c r="G39" i="6"/>
  <c r="Q44" i="6"/>
  <c r="J44" i="6"/>
  <c r="J62" i="6"/>
  <c r="P62" i="6"/>
  <c r="R66" i="6"/>
  <c r="P109" i="6"/>
  <c r="Q119" i="6"/>
  <c r="J119" i="6"/>
  <c r="G141" i="6"/>
  <c r="J146" i="6"/>
  <c r="P146" i="6"/>
  <c r="P170" i="6"/>
  <c r="G185" i="6"/>
  <c r="J190" i="6"/>
  <c r="Q192" i="6"/>
  <c r="J192" i="6"/>
  <c r="Q221" i="6"/>
  <c r="J232" i="6"/>
  <c r="Q105" i="6"/>
  <c r="Q108" i="6"/>
  <c r="J108" i="6"/>
  <c r="Q151" i="6"/>
  <c r="J151" i="6"/>
  <c r="J179" i="6"/>
  <c r="J188" i="6"/>
  <c r="J95" i="6"/>
  <c r="Q36" i="6"/>
  <c r="J36" i="6"/>
  <c r="Q68" i="6"/>
  <c r="J68" i="6"/>
  <c r="Q79" i="6"/>
  <c r="J79" i="6"/>
  <c r="J184" i="6"/>
  <c r="Q184" i="6"/>
  <c r="J223" i="6"/>
  <c r="J243" i="6"/>
  <c r="J61" i="6"/>
  <c r="P77" i="6"/>
  <c r="J77" i="6"/>
  <c r="Q172" i="6"/>
  <c r="J172" i="6"/>
  <c r="J239" i="6"/>
  <c r="Q48" i="6"/>
  <c r="J48" i="6"/>
  <c r="Q55" i="6"/>
  <c r="J55" i="6"/>
  <c r="Q91" i="6"/>
  <c r="J91" i="6"/>
  <c r="Q116" i="6"/>
  <c r="J116" i="6"/>
  <c r="J150" i="6"/>
  <c r="P150" i="6"/>
  <c r="J157" i="6"/>
  <c r="Q157" i="6"/>
  <c r="J121" i="6"/>
  <c r="Q121" i="6"/>
  <c r="Q139" i="6"/>
  <c r="J139" i="6"/>
  <c r="R207" i="6"/>
  <c r="J42" i="6"/>
  <c r="P42" i="6"/>
  <c r="G99" i="6"/>
  <c r="J106" i="6"/>
  <c r="P106" i="6"/>
  <c r="R112" i="6"/>
  <c r="P121" i="6"/>
  <c r="J195" i="6"/>
  <c r="J93" i="6"/>
  <c r="J104" i="6"/>
  <c r="Q137" i="6"/>
  <c r="R224" i="6"/>
  <c r="P226" i="6"/>
  <c r="J245" i="6"/>
  <c r="J207" i="6"/>
  <c r="Q52" i="6"/>
  <c r="J52" i="6"/>
  <c r="J70" i="6"/>
  <c r="Q111" i="6"/>
  <c r="J111" i="6"/>
  <c r="J161" i="6"/>
  <c r="Q161" i="6"/>
  <c r="P176" i="6"/>
  <c r="J176" i="6"/>
  <c r="R176" i="6"/>
  <c r="J180" i="6"/>
  <c r="Q180" i="6"/>
  <c r="P66" i="6"/>
  <c r="J66" i="6"/>
  <c r="Q75" i="6"/>
  <c r="J75" i="6"/>
  <c r="Q84" i="6"/>
  <c r="J84" i="6"/>
  <c r="Q159" i="6"/>
  <c r="J159" i="6"/>
  <c r="J219" i="6"/>
  <c r="J246" i="6"/>
  <c r="P246" i="6"/>
  <c r="J143" i="6"/>
  <c r="P25" i="6"/>
  <c r="J25" i="6"/>
  <c r="Q64" i="6"/>
  <c r="J64" i="6"/>
  <c r="Q123" i="6"/>
  <c r="J123" i="6"/>
  <c r="R136" i="6"/>
  <c r="Q39" i="6"/>
  <c r="J39" i="6"/>
  <c r="Q53" i="6"/>
  <c r="J53" i="6"/>
  <c r="J69" i="6"/>
  <c r="P70" i="6"/>
  <c r="Q112" i="6"/>
  <c r="J112" i="6"/>
  <c r="Q135" i="6"/>
  <c r="J135" i="6"/>
  <c r="R91" i="6"/>
  <c r="R98" i="6"/>
  <c r="J110" i="6"/>
  <c r="P110" i="6"/>
  <c r="Q125" i="6"/>
  <c r="Q133" i="6"/>
  <c r="J133" i="6"/>
  <c r="J197" i="6"/>
  <c r="Q197" i="6"/>
  <c r="P197" i="6"/>
  <c r="Q69" i="6"/>
  <c r="Q72" i="6"/>
  <c r="J72" i="6"/>
  <c r="S87" i="6"/>
  <c r="G97" i="6"/>
  <c r="Q120" i="6"/>
  <c r="J120" i="6"/>
  <c r="P190" i="6"/>
  <c r="P193" i="6"/>
  <c r="J193" i="6"/>
  <c r="G209" i="6"/>
  <c r="J24" i="6"/>
  <c r="G31" i="6"/>
  <c r="J38" i="6"/>
  <c r="G42" i="6"/>
  <c r="Q60" i="6"/>
  <c r="J60" i="6"/>
  <c r="G100" i="6"/>
  <c r="Q115" i="6"/>
  <c r="J115" i="6"/>
  <c r="Q131" i="6"/>
  <c r="J131" i="6"/>
  <c r="Q140" i="6"/>
  <c r="J140" i="6"/>
  <c r="G144" i="6"/>
  <c r="G164" i="6"/>
  <c r="G184" i="6"/>
  <c r="G195" i="6"/>
  <c r="G208" i="6"/>
  <c r="P228" i="6"/>
  <c r="J228" i="6"/>
  <c r="Q228" i="6"/>
  <c r="J235" i="6"/>
  <c r="J242" i="6"/>
  <c r="J22" i="6"/>
  <c r="Q47" i="6"/>
  <c r="J47" i="6"/>
  <c r="Q56" i="6"/>
  <c r="J56" i="6"/>
  <c r="R71" i="6"/>
  <c r="G73" i="6"/>
  <c r="Q80" i="6"/>
  <c r="J80" i="6"/>
  <c r="R88" i="6"/>
  <c r="Q107" i="6"/>
  <c r="J107" i="6"/>
  <c r="R155" i="6"/>
  <c r="G160" i="6"/>
  <c r="J222" i="6"/>
  <c r="J78" i="6"/>
  <c r="Q147" i="6"/>
  <c r="J147" i="6"/>
  <c r="P189" i="6"/>
  <c r="J189" i="6"/>
  <c r="P220" i="6"/>
  <c r="J220" i="6"/>
  <c r="J51" i="6"/>
  <c r="Q76" i="6"/>
  <c r="J76" i="6"/>
  <c r="Q87" i="6"/>
  <c r="J87" i="6"/>
  <c r="J94" i="6"/>
  <c r="Q127" i="6"/>
  <c r="J127" i="6"/>
  <c r="Q145" i="6"/>
  <c r="J145" i="6"/>
  <c r="J154" i="6"/>
  <c r="J187" i="6"/>
  <c r="G189" i="6"/>
  <c r="J198" i="6"/>
  <c r="G200" i="6"/>
  <c r="J49" i="6"/>
  <c r="J231" i="6"/>
  <c r="J201" i="6"/>
  <c r="J238" i="6"/>
  <c r="R227" i="6"/>
  <c r="J227" i="6"/>
  <c r="Q236" i="6"/>
  <c r="J236" i="6"/>
  <c r="R246" i="6"/>
  <c r="R242" i="6"/>
  <c r="J20" i="6"/>
  <c r="P29" i="6"/>
  <c r="J18" i="6"/>
  <c r="Q9" i="6"/>
  <c r="Q29" i="6"/>
  <c r="G12" i="6"/>
  <c r="Q25" i="6"/>
  <c r="J15" i="6"/>
  <c r="J13" i="6"/>
  <c r="G3" i="6"/>
  <c r="G8" i="6"/>
  <c r="G19" i="6"/>
  <c r="J11" i="6"/>
  <c r="G17" i="6"/>
  <c r="J27" i="6"/>
  <c r="J7" i="6"/>
  <c r="J12" i="6"/>
  <c r="J23" i="6"/>
  <c r="J10" i="6"/>
  <c r="J8" i="6"/>
  <c r="J6" i="6"/>
  <c r="P6" i="6"/>
  <c r="J29" i="6"/>
  <c r="J17" i="6"/>
  <c r="J5" i="6"/>
  <c r="G25" i="6"/>
  <c r="J28" i="6"/>
  <c r="J16" i="6"/>
  <c r="J4" i="6"/>
  <c r="P41" i="6"/>
  <c r="Q33" i="6"/>
  <c r="P45" i="6"/>
  <c r="P65" i="6"/>
  <c r="G90" i="6"/>
  <c r="R171" i="6"/>
  <c r="S171" i="6"/>
  <c r="Q225" i="6"/>
  <c r="P225" i="6"/>
  <c r="Q233" i="6"/>
  <c r="P57" i="6"/>
  <c r="G130" i="6"/>
  <c r="P166" i="6"/>
  <c r="P194" i="6"/>
  <c r="P210" i="6"/>
  <c r="Q73" i="6"/>
  <c r="R76" i="6"/>
  <c r="S92" i="6"/>
  <c r="R107" i="6"/>
  <c r="S107" i="6"/>
  <c r="S207" i="6"/>
  <c r="P229" i="6"/>
  <c r="Q229" i="6"/>
  <c r="S88" i="6"/>
  <c r="Q124" i="6"/>
  <c r="S155" i="6"/>
  <c r="P185" i="6"/>
  <c r="R188" i="6"/>
  <c r="P26" i="6"/>
  <c r="R55" i="6"/>
  <c r="P114" i="6"/>
  <c r="R151" i="6"/>
  <c r="R192" i="6"/>
  <c r="P37" i="6"/>
  <c r="Q40" i="6"/>
  <c r="Q41" i="6"/>
  <c r="R63" i="6"/>
  <c r="P102" i="6"/>
  <c r="R128" i="6"/>
  <c r="R194" i="6"/>
  <c r="P233" i="6"/>
  <c r="P14" i="6"/>
  <c r="G26" i="6"/>
  <c r="Q32" i="6"/>
  <c r="P33" i="6"/>
  <c r="Q45" i="6"/>
  <c r="P49" i="6"/>
  <c r="Q65" i="6"/>
  <c r="R75" i="6"/>
  <c r="R120" i="6"/>
  <c r="S192" i="6"/>
  <c r="R198" i="6"/>
  <c r="R210" i="6"/>
  <c r="S210" i="6"/>
  <c r="Q220" i="6"/>
  <c r="R239" i="6"/>
  <c r="Q49" i="6"/>
  <c r="Q57" i="6"/>
  <c r="G60" i="6"/>
  <c r="G64" i="6"/>
  <c r="P73" i="6"/>
  <c r="S75" i="6"/>
  <c r="G148" i="6"/>
  <c r="R164" i="6"/>
  <c r="G167" i="6"/>
  <c r="R172" i="6"/>
  <c r="P178" i="6"/>
  <c r="R179" i="6"/>
  <c r="G191" i="6"/>
  <c r="P198" i="6"/>
  <c r="P214" i="6"/>
  <c r="Q88" i="6"/>
  <c r="G98" i="6"/>
  <c r="R102" i="6"/>
  <c r="S131" i="6"/>
  <c r="R131" i="6"/>
  <c r="G178" i="6"/>
  <c r="Q185" i="6"/>
  <c r="P188" i="6"/>
  <c r="Q188" i="6"/>
  <c r="G242" i="6"/>
  <c r="Q245" i="6"/>
  <c r="P113" i="6"/>
  <c r="P192" i="6"/>
  <c r="S211" i="6"/>
  <c r="R123" i="6"/>
  <c r="Q164" i="6"/>
  <c r="P133" i="6"/>
  <c r="G194" i="6"/>
  <c r="R80" i="6"/>
  <c r="R115" i="6"/>
  <c r="Q160" i="6"/>
  <c r="G214" i="6"/>
  <c r="P236" i="6"/>
  <c r="R22" i="6"/>
  <c r="P105" i="6"/>
  <c r="R108" i="6"/>
  <c r="S156" i="6"/>
  <c r="R156" i="6"/>
  <c r="P180" i="6"/>
  <c r="P240" i="6"/>
  <c r="Q240" i="6"/>
  <c r="P245" i="6"/>
  <c r="R4" i="6"/>
  <c r="R10" i="6"/>
  <c r="P22" i="6"/>
  <c r="R54" i="6"/>
  <c r="Q77" i="6"/>
  <c r="R6" i="6"/>
  <c r="S6" i="6"/>
  <c r="P9" i="6"/>
  <c r="R32" i="6"/>
  <c r="P54" i="6"/>
  <c r="R56" i="6"/>
  <c r="P82" i="6"/>
  <c r="G84" i="6"/>
  <c r="P90" i="6"/>
  <c r="P101" i="6"/>
  <c r="Q109" i="6"/>
  <c r="G119" i="6"/>
  <c r="G123" i="6"/>
  <c r="Q232" i="6"/>
  <c r="R236" i="6"/>
  <c r="P238" i="6"/>
  <c r="R135" i="6"/>
  <c r="Q152" i="6"/>
  <c r="G166" i="6"/>
  <c r="Q168" i="6"/>
  <c r="P224" i="6"/>
  <c r="G5" i="6"/>
  <c r="G9" i="6"/>
  <c r="G56" i="6"/>
  <c r="G93" i="6"/>
  <c r="P130" i="6"/>
  <c r="S135" i="6"/>
  <c r="Q148" i="6"/>
  <c r="G152" i="6"/>
  <c r="G177" i="6"/>
  <c r="G199" i="6"/>
  <c r="G203" i="6"/>
  <c r="R220" i="6"/>
  <c r="G224" i="6"/>
  <c r="P98" i="6"/>
  <c r="G120" i="6"/>
  <c r="R158" i="6"/>
  <c r="G176" i="6"/>
  <c r="G196" i="6"/>
  <c r="G232" i="6"/>
  <c r="G241" i="6"/>
  <c r="G7" i="6"/>
  <c r="G11" i="6"/>
  <c r="G21" i="6"/>
  <c r="G23" i="6"/>
  <c r="G36" i="6"/>
  <c r="G40" i="6"/>
  <c r="G47" i="6"/>
  <c r="G49" i="6"/>
  <c r="G51" i="6"/>
  <c r="R62" i="6"/>
  <c r="G121" i="6"/>
  <c r="G138" i="6"/>
  <c r="R150" i="6"/>
  <c r="R191" i="6"/>
  <c r="G219" i="6"/>
  <c r="G4" i="6"/>
  <c r="G15" i="6"/>
  <c r="G27" i="6"/>
  <c r="R31" i="6"/>
  <c r="R40" i="6"/>
  <c r="R51" i="6"/>
  <c r="G57" i="6"/>
  <c r="G63" i="6"/>
  <c r="G65" i="6"/>
  <c r="G74" i="6"/>
  <c r="G76" i="6"/>
  <c r="R96" i="6"/>
  <c r="G115" i="6"/>
  <c r="G117" i="6"/>
  <c r="G135" i="6"/>
  <c r="G147" i="6"/>
  <c r="G149" i="6"/>
  <c r="G151" i="6"/>
  <c r="G163" i="6"/>
  <c r="G179" i="6"/>
  <c r="G193" i="6"/>
  <c r="G210" i="6"/>
  <c r="G226" i="6"/>
  <c r="G237" i="6"/>
  <c r="R240" i="6"/>
  <c r="G244" i="6"/>
  <c r="Q21" i="6"/>
  <c r="S60" i="6"/>
  <c r="R60" i="6"/>
  <c r="Q81" i="6"/>
  <c r="P126" i="6"/>
  <c r="P129" i="6"/>
  <c r="R146" i="6"/>
  <c r="S146" i="6"/>
  <c r="Q181" i="6"/>
  <c r="P181" i="6"/>
  <c r="S196" i="6"/>
  <c r="R196" i="6"/>
  <c r="R203" i="6"/>
  <c r="S35" i="6"/>
  <c r="R35" i="6"/>
  <c r="P50" i="6"/>
  <c r="S51" i="6"/>
  <c r="G78" i="6"/>
  <c r="R79" i="6"/>
  <c r="R82" i="6"/>
  <c r="S82" i="6"/>
  <c r="S91" i="6"/>
  <c r="G110" i="6"/>
  <c r="R130" i="6"/>
  <c r="S130" i="6"/>
  <c r="P142" i="6"/>
  <c r="P174" i="6"/>
  <c r="G34" i="6"/>
  <c r="S54" i="6"/>
  <c r="P74" i="6"/>
  <c r="S96" i="6"/>
  <c r="R99" i="6"/>
  <c r="S102" i="6"/>
  <c r="G126" i="6"/>
  <c r="R127" i="6"/>
  <c r="S151" i="6"/>
  <c r="S175" i="6"/>
  <c r="R175" i="6"/>
  <c r="Q237" i="6"/>
  <c r="P237" i="6"/>
  <c r="G6" i="6"/>
  <c r="R16" i="6"/>
  <c r="G18" i="6"/>
  <c r="R48" i="6"/>
  <c r="G50" i="6"/>
  <c r="Q97" i="6"/>
  <c r="Q103" i="6"/>
  <c r="R103" i="6"/>
  <c r="R124" i="6"/>
  <c r="G142" i="6"/>
  <c r="R143" i="6"/>
  <c r="G174" i="6"/>
  <c r="P200" i="6"/>
  <c r="Q200" i="6"/>
  <c r="P208" i="6"/>
  <c r="P234" i="6"/>
  <c r="S10" i="6"/>
  <c r="S22" i="6"/>
  <c r="S38" i="6"/>
  <c r="P46" i="6"/>
  <c r="S66" i="6"/>
  <c r="S72" i="6"/>
  <c r="S84" i="6"/>
  <c r="R84" i="6"/>
  <c r="Q100" i="6"/>
  <c r="P117" i="6"/>
  <c r="R118" i="6"/>
  <c r="S118" i="6"/>
  <c r="P122" i="6"/>
  <c r="Q149" i="6"/>
  <c r="Q165" i="6"/>
  <c r="P165" i="6"/>
  <c r="R166" i="6"/>
  <c r="S166" i="6"/>
  <c r="P205" i="6"/>
  <c r="P216" i="6"/>
  <c r="Q216" i="6"/>
  <c r="R216" i="6"/>
  <c r="G222" i="6"/>
  <c r="S223" i="6"/>
  <c r="R223" i="6"/>
  <c r="R235" i="6"/>
  <c r="Q5" i="6"/>
  <c r="R28" i="6"/>
  <c r="R34" i="6"/>
  <c r="P58" i="6"/>
  <c r="R59" i="6"/>
  <c r="R78" i="6"/>
  <c r="S78" i="6"/>
  <c r="R132" i="6"/>
  <c r="Q144" i="6"/>
  <c r="P202" i="6"/>
  <c r="R232" i="6"/>
  <c r="R12" i="6"/>
  <c r="R24" i="6"/>
  <c r="P34" i="6"/>
  <c r="R44" i="6"/>
  <c r="R47" i="6"/>
  <c r="R50" i="6"/>
  <c r="S50" i="6"/>
  <c r="S59" i="6"/>
  <c r="R68" i="6"/>
  <c r="P81" i="6"/>
  <c r="P85" i="6"/>
  <c r="Q129" i="6"/>
  <c r="S163" i="6"/>
  <c r="R163" i="6"/>
  <c r="S195" i="6"/>
  <c r="R195" i="6"/>
  <c r="Q213" i="6"/>
  <c r="S219" i="6"/>
  <c r="R219" i="6"/>
  <c r="R226" i="6"/>
  <c r="S226" i="6"/>
  <c r="G14" i="6"/>
  <c r="R18" i="6"/>
  <c r="S18" i="6"/>
  <c r="P21" i="6"/>
  <c r="G29" i="6"/>
  <c r="G32" i="6"/>
  <c r="S34" i="6"/>
  <c r="Q37" i="6"/>
  <c r="G58" i="6"/>
  <c r="S62" i="6"/>
  <c r="G70" i="6"/>
  <c r="G85" i="6"/>
  <c r="R86" i="6"/>
  <c r="G88" i="6"/>
  <c r="G94" i="6"/>
  <c r="R95" i="6"/>
  <c r="S98" i="6"/>
  <c r="G111" i="6"/>
  <c r="G114" i="6"/>
  <c r="S120" i="6"/>
  <c r="Q141" i="6"/>
  <c r="P141" i="6"/>
  <c r="S158" i="6"/>
  <c r="P162" i="6"/>
  <c r="P196" i="6"/>
  <c r="S198" i="6"/>
  <c r="G213" i="6"/>
  <c r="R214" i="6"/>
  <c r="S214" i="6"/>
  <c r="P218" i="6"/>
  <c r="R231" i="6"/>
  <c r="S231" i="6"/>
  <c r="S243" i="6"/>
  <c r="R243" i="6"/>
  <c r="P18" i="6"/>
  <c r="R30" i="6"/>
  <c r="P86" i="6"/>
  <c r="Q96" i="6"/>
  <c r="R134" i="6"/>
  <c r="S152" i="6"/>
  <c r="R152" i="6"/>
  <c r="R43" i="6"/>
  <c r="R83" i="6"/>
  <c r="P134" i="6"/>
  <c r="P184" i="6"/>
  <c r="Q208" i="6"/>
  <c r="R215" i="6"/>
  <c r="R20" i="6"/>
  <c r="G22" i="6"/>
  <c r="S30" i="6"/>
  <c r="G38" i="6"/>
  <c r="P53" i="6"/>
  <c r="R58" i="6"/>
  <c r="Q61" i="6"/>
  <c r="R64" i="6"/>
  <c r="S67" i="6"/>
  <c r="R67" i="6"/>
  <c r="P97" i="6"/>
  <c r="Q104" i="6"/>
  <c r="R104" i="6"/>
  <c r="Q117" i="6"/>
  <c r="S134" i="6"/>
  <c r="P138" i="6"/>
  <c r="Q153" i="6"/>
  <c r="P153" i="6"/>
  <c r="R160" i="6"/>
  <c r="Q205" i="6"/>
  <c r="R27" i="6"/>
  <c r="R208" i="6"/>
  <c r="P230" i="6"/>
  <c r="P30" i="6"/>
  <c r="R36" i="6"/>
  <c r="R52" i="6"/>
  <c r="P61" i="6"/>
  <c r="G82" i="6"/>
  <c r="S100" i="6"/>
  <c r="R100" i="6"/>
  <c r="Q113" i="6"/>
  <c r="S139" i="6"/>
  <c r="R139" i="6"/>
  <c r="Q156" i="6"/>
  <c r="Q193" i="6"/>
  <c r="P222" i="6"/>
  <c r="R228" i="6"/>
  <c r="S228" i="6"/>
  <c r="P244" i="6"/>
  <c r="Q244" i="6"/>
  <c r="R8" i="6"/>
  <c r="P17" i="6"/>
  <c r="R26" i="6"/>
  <c r="G28" i="6"/>
  <c r="R39" i="6"/>
  <c r="S58" i="6"/>
  <c r="G66" i="6"/>
  <c r="G75" i="6"/>
  <c r="G101" i="6"/>
  <c r="G104" i="6"/>
  <c r="G107" i="6"/>
  <c r="R111" i="6"/>
  <c r="S111" i="6"/>
  <c r="R119" i="6"/>
  <c r="Q132" i="6"/>
  <c r="P145" i="6"/>
  <c r="P149" i="6"/>
  <c r="G153" i="6"/>
  <c r="P154" i="6"/>
  <c r="P206" i="6"/>
  <c r="P209" i="6"/>
  <c r="Q209" i="6"/>
  <c r="P212" i="6"/>
  <c r="Q212" i="6"/>
  <c r="R212" i="6"/>
  <c r="Q241" i="6"/>
  <c r="P241" i="6"/>
  <c r="G46" i="6"/>
  <c r="Q93" i="6"/>
  <c r="G103" i="6"/>
  <c r="G112" i="6"/>
  <c r="G122" i="6"/>
  <c r="P125" i="6"/>
  <c r="Q128" i="6"/>
  <c r="G159" i="6"/>
  <c r="R178" i="6"/>
  <c r="S178" i="6"/>
  <c r="G183" i="6"/>
  <c r="G212" i="6"/>
  <c r="G218" i="6"/>
  <c r="G234" i="6"/>
  <c r="G96" i="6"/>
  <c r="R110" i="6"/>
  <c r="P118" i="6"/>
  <c r="R126" i="6"/>
  <c r="S168" i="6"/>
  <c r="R168" i="6"/>
  <c r="P186" i="6"/>
  <c r="Q189" i="6"/>
  <c r="R206" i="6"/>
  <c r="S206" i="6"/>
  <c r="R138" i="6"/>
  <c r="R184" i="6"/>
  <c r="R187" i="6"/>
  <c r="Q217" i="6"/>
  <c r="P217" i="6"/>
  <c r="R218" i="6"/>
  <c r="G10" i="6"/>
  <c r="G16" i="6"/>
  <c r="G30" i="6"/>
  <c r="G37" i="6"/>
  <c r="R46" i="6"/>
  <c r="G48" i="6"/>
  <c r="G69" i="6"/>
  <c r="G86" i="6"/>
  <c r="Q89" i="6"/>
  <c r="P89" i="6"/>
  <c r="Q92" i="6"/>
  <c r="S94" i="6"/>
  <c r="G105" i="6"/>
  <c r="G108" i="6"/>
  <c r="S110" i="6"/>
  <c r="R116" i="6"/>
  <c r="G118" i="6"/>
  <c r="R144" i="6"/>
  <c r="G146" i="6"/>
  <c r="R147" i="6"/>
  <c r="G155" i="6"/>
  <c r="P158" i="6"/>
  <c r="R159" i="6"/>
  <c r="P169" i="6"/>
  <c r="P182" i="6"/>
  <c r="G186" i="6"/>
  <c r="R200" i="6"/>
  <c r="P204" i="6"/>
  <c r="R204" i="6"/>
  <c r="G217" i="6"/>
  <c r="S218" i="6"/>
  <c r="R14" i="6"/>
  <c r="G33" i="6"/>
  <c r="R42" i="6"/>
  <c r="G44" i="6"/>
  <c r="G55" i="6"/>
  <c r="R74" i="6"/>
  <c r="G79" i="6"/>
  <c r="G89" i="6"/>
  <c r="R90" i="6"/>
  <c r="G92" i="6"/>
  <c r="R106" i="6"/>
  <c r="G133" i="6"/>
  <c r="G136" i="6"/>
  <c r="S138" i="6"/>
  <c r="S150" i="6"/>
  <c r="R162" i="6"/>
  <c r="S162" i="6"/>
  <c r="G169" i="6"/>
  <c r="G192" i="6"/>
  <c r="S194" i="6"/>
  <c r="G230" i="6"/>
  <c r="G233" i="6"/>
  <c r="G240" i="6"/>
  <c r="G106" i="6"/>
  <c r="G134" i="6"/>
  <c r="P137" i="6"/>
  <c r="R142" i="6"/>
  <c r="G158" i="6"/>
  <c r="G170" i="6"/>
  <c r="Q173" i="6"/>
  <c r="P173" i="6"/>
  <c r="R182" i="6"/>
  <c r="S182" i="6"/>
  <c r="R202" i="6"/>
  <c r="P221" i="6"/>
  <c r="R230" i="6"/>
  <c r="S230" i="6"/>
  <c r="R244" i="6"/>
  <c r="G54" i="6"/>
  <c r="G61" i="6"/>
  <c r="R70" i="6"/>
  <c r="G72" i="6"/>
  <c r="G87" i="6"/>
  <c r="G102" i="6"/>
  <c r="G109" i="6"/>
  <c r="R114" i="6"/>
  <c r="G137" i="6"/>
  <c r="R148" i="6"/>
  <c r="G173" i="6"/>
  <c r="G198" i="6"/>
  <c r="R199" i="6"/>
  <c r="G211" i="6"/>
  <c r="G221" i="6"/>
  <c r="G246" i="6"/>
  <c r="G113" i="6"/>
  <c r="R122" i="6"/>
  <c r="G124" i="6"/>
  <c r="G139" i="6"/>
  <c r="G154" i="6"/>
  <c r="G161" i="6"/>
  <c r="R170" i="6"/>
  <c r="G172" i="6"/>
  <c r="R174" i="6"/>
  <c r="G181" i="6"/>
  <c r="G190" i="6"/>
  <c r="Q201" i="6"/>
  <c r="G207" i="6"/>
  <c r="G220" i="6"/>
  <c r="R222" i="6"/>
  <c r="G229" i="6"/>
  <c r="G238" i="6"/>
  <c r="R186" i="6"/>
  <c r="G202" i="6"/>
  <c r="R234" i="6"/>
  <c r="R154" i="6"/>
  <c r="G156" i="6"/>
  <c r="G171" i="6"/>
  <c r="G175" i="6"/>
  <c r="G188" i="6"/>
  <c r="R190" i="6"/>
  <c r="G197" i="6"/>
  <c r="G206" i="6"/>
  <c r="G223" i="6"/>
  <c r="G236" i="6"/>
  <c r="R238" i="6"/>
  <c r="G245" i="6"/>
  <c r="S197" i="6"/>
  <c r="R197" i="6"/>
  <c r="R201" i="6"/>
  <c r="S201" i="6"/>
  <c r="S205" i="6"/>
  <c r="R205" i="6"/>
  <c r="R213" i="6"/>
  <c r="S213" i="6"/>
  <c r="R237" i="6"/>
  <c r="S237" i="6"/>
  <c r="R241" i="6"/>
  <c r="S241" i="6"/>
  <c r="P19" i="6"/>
  <c r="P31" i="6"/>
  <c r="P35" i="6"/>
  <c r="P43" i="6"/>
  <c r="P59" i="6"/>
  <c r="P63" i="6"/>
  <c r="P67" i="6"/>
  <c r="P71" i="6"/>
  <c r="P83" i="6"/>
  <c r="P99" i="6"/>
  <c r="P163" i="6"/>
  <c r="P167" i="6"/>
  <c r="P171" i="6"/>
  <c r="P175" i="6"/>
  <c r="P183" i="6"/>
  <c r="P187" i="6"/>
  <c r="P191" i="6"/>
  <c r="P195" i="6"/>
  <c r="P199" i="6"/>
  <c r="P203" i="6"/>
  <c r="P215" i="6"/>
  <c r="P219" i="6"/>
  <c r="P223" i="6"/>
  <c r="P227" i="6"/>
  <c r="P235" i="6"/>
  <c r="P239" i="6"/>
  <c r="P243" i="6"/>
  <c r="P4" i="6"/>
  <c r="Q7" i="6"/>
  <c r="P8" i="6"/>
  <c r="Q11" i="6"/>
  <c r="P12" i="6"/>
  <c r="Q15" i="6"/>
  <c r="P16" i="6"/>
  <c r="Q19" i="6"/>
  <c r="P20" i="6"/>
  <c r="Q23" i="6"/>
  <c r="P24" i="6"/>
  <c r="Q4" i="6"/>
  <c r="S5" i="6"/>
  <c r="R5" i="6"/>
  <c r="Q8" i="6"/>
  <c r="S9" i="6"/>
  <c r="R9" i="6"/>
  <c r="Q12" i="6"/>
  <c r="R13" i="6"/>
  <c r="S13" i="6"/>
  <c r="Q16" i="6"/>
  <c r="S17" i="6"/>
  <c r="R17" i="6"/>
  <c r="Q20" i="6"/>
  <c r="R21" i="6"/>
  <c r="S21" i="6"/>
  <c r="Q24" i="6"/>
  <c r="R25" i="6"/>
  <c r="S25" i="6"/>
  <c r="P28" i="6"/>
  <c r="Q31" i="6"/>
  <c r="P32" i="6"/>
  <c r="Q35" i="6"/>
  <c r="P36" i="6"/>
  <c r="P40" i="6"/>
  <c r="Q43" i="6"/>
  <c r="P44" i="6"/>
  <c r="P48" i="6"/>
  <c r="P52" i="6"/>
  <c r="P56" i="6"/>
  <c r="Q59" i="6"/>
  <c r="P60" i="6"/>
  <c r="Q63" i="6"/>
  <c r="P64" i="6"/>
  <c r="Q67" i="6"/>
  <c r="P68" i="6"/>
  <c r="Q71" i="6"/>
  <c r="P72" i="6"/>
  <c r="P76" i="6"/>
  <c r="P80" i="6"/>
  <c r="Q83" i="6"/>
  <c r="P84" i="6"/>
  <c r="P88" i="6"/>
  <c r="P92" i="6"/>
  <c r="P96" i="6"/>
  <c r="Q99" i="6"/>
  <c r="P100" i="6"/>
  <c r="P104" i="6"/>
  <c r="P108" i="6"/>
  <c r="P112" i="6"/>
  <c r="P116" i="6"/>
  <c r="P120" i="6"/>
  <c r="P124" i="6"/>
  <c r="P128" i="6"/>
  <c r="P132" i="6"/>
  <c r="P136" i="6"/>
  <c r="P140" i="6"/>
  <c r="P144" i="6"/>
  <c r="P148" i="6"/>
  <c r="P152" i="6"/>
  <c r="P156" i="6"/>
  <c r="P160" i="6"/>
  <c r="Q163" i="6"/>
  <c r="P164" i="6"/>
  <c r="Q167" i="6"/>
  <c r="P168" i="6"/>
  <c r="Q171" i="6"/>
  <c r="P172" i="6"/>
  <c r="R177" i="6"/>
  <c r="S177" i="6"/>
  <c r="S181" i="6"/>
  <c r="R181" i="6"/>
  <c r="R185" i="6"/>
  <c r="S185" i="6"/>
  <c r="S189" i="6"/>
  <c r="R189" i="6"/>
  <c r="R193" i="6"/>
  <c r="S193" i="6"/>
  <c r="R209" i="6"/>
  <c r="S209" i="6"/>
  <c r="R217" i="6"/>
  <c r="S217" i="6"/>
  <c r="R221" i="6"/>
  <c r="S221" i="6"/>
  <c r="S225" i="6"/>
  <c r="R225" i="6"/>
  <c r="R229" i="6"/>
  <c r="S229" i="6"/>
  <c r="R233" i="6"/>
  <c r="S233" i="6"/>
  <c r="S245" i="6"/>
  <c r="R245" i="6"/>
  <c r="P7" i="6"/>
  <c r="P11" i="6"/>
  <c r="P15" i="6"/>
  <c r="P23" i="6"/>
  <c r="P27" i="6"/>
  <c r="P39" i="6"/>
  <c r="P47" i="6"/>
  <c r="P51" i="6"/>
  <c r="P55" i="6"/>
  <c r="P75" i="6"/>
  <c r="P79" i="6"/>
  <c r="P87" i="6"/>
  <c r="P91" i="6"/>
  <c r="P95" i="6"/>
  <c r="P103" i="6"/>
  <c r="P107" i="6"/>
  <c r="P111" i="6"/>
  <c r="P115" i="6"/>
  <c r="P119" i="6"/>
  <c r="P123" i="6"/>
  <c r="P127" i="6"/>
  <c r="P131" i="6"/>
  <c r="P135" i="6"/>
  <c r="P139" i="6"/>
  <c r="P143" i="6"/>
  <c r="P147" i="6"/>
  <c r="P151" i="6"/>
  <c r="P155" i="6"/>
  <c r="P159" i="6"/>
  <c r="P179" i="6"/>
  <c r="P207" i="6"/>
  <c r="P211" i="6"/>
  <c r="P231" i="6"/>
  <c r="R7" i="6"/>
  <c r="R11" i="6"/>
  <c r="R15" i="6"/>
  <c r="R19" i="6"/>
  <c r="R23" i="6"/>
  <c r="R29" i="6"/>
  <c r="S29" i="6"/>
  <c r="R33" i="6"/>
  <c r="S33" i="6"/>
  <c r="R37" i="6"/>
  <c r="S37" i="6"/>
  <c r="R41" i="6"/>
  <c r="S41" i="6"/>
  <c r="R45" i="6"/>
  <c r="S45" i="6"/>
  <c r="R49" i="6"/>
  <c r="S49" i="6"/>
  <c r="R53" i="6"/>
  <c r="S53" i="6"/>
  <c r="R57" i="6"/>
  <c r="S57" i="6"/>
  <c r="S61" i="6"/>
  <c r="R61" i="6"/>
  <c r="R65" i="6"/>
  <c r="S65" i="6"/>
  <c r="R69" i="6"/>
  <c r="S69" i="6"/>
  <c r="R73" i="6"/>
  <c r="S73" i="6"/>
  <c r="R77" i="6"/>
  <c r="S77" i="6"/>
  <c r="S81" i="6"/>
  <c r="R81" i="6"/>
  <c r="R85" i="6"/>
  <c r="S85" i="6"/>
  <c r="R89" i="6"/>
  <c r="S89" i="6"/>
  <c r="S93" i="6"/>
  <c r="R93" i="6"/>
  <c r="R97" i="6"/>
  <c r="S97" i="6"/>
  <c r="R101" i="6"/>
  <c r="S101" i="6"/>
  <c r="S105" i="6"/>
  <c r="R105" i="6"/>
  <c r="R109" i="6"/>
  <c r="S109" i="6"/>
  <c r="R113" i="6"/>
  <c r="S113" i="6"/>
  <c r="R117" i="6"/>
  <c r="S117" i="6"/>
  <c r="S121" i="6"/>
  <c r="R121" i="6"/>
  <c r="R125" i="6"/>
  <c r="S125" i="6"/>
  <c r="R129" i="6"/>
  <c r="S129" i="6"/>
  <c r="R133" i="6"/>
  <c r="S133" i="6"/>
  <c r="R137" i="6"/>
  <c r="S137" i="6"/>
  <c r="S141" i="6"/>
  <c r="R141" i="6"/>
  <c r="S145" i="6"/>
  <c r="R145" i="6"/>
  <c r="R149" i="6"/>
  <c r="S149" i="6"/>
  <c r="R153" i="6"/>
  <c r="S153" i="6"/>
  <c r="S157" i="6"/>
  <c r="R157" i="6"/>
  <c r="R161" i="6"/>
  <c r="S161" i="6"/>
  <c r="R165" i="6"/>
  <c r="S165" i="6"/>
  <c r="S169" i="6"/>
  <c r="R169" i="6"/>
  <c r="R173" i="6"/>
  <c r="S173" i="6"/>
  <c r="Q175" i="6"/>
  <c r="Q179" i="6"/>
  <c r="Q183" i="6"/>
  <c r="Q187" i="6"/>
  <c r="Q191" i="6"/>
  <c r="Q195" i="6"/>
  <c r="Q199" i="6"/>
  <c r="Q203" i="6"/>
  <c r="Q207" i="6"/>
  <c r="Q211" i="6"/>
  <c r="Q215" i="6"/>
  <c r="Q219" i="6"/>
  <c r="Q223" i="6"/>
  <c r="Q227" i="6"/>
  <c r="Q231" i="6"/>
  <c r="Q235" i="6"/>
  <c r="Q239" i="6"/>
  <c r="Q243" i="6"/>
  <c r="Q6" i="6"/>
  <c r="Q10" i="6"/>
  <c r="Q14" i="6"/>
  <c r="Q18" i="6"/>
  <c r="Q22" i="6"/>
  <c r="Q26" i="6"/>
  <c r="Q30" i="6"/>
  <c r="Q34" i="6"/>
  <c r="Q38" i="6"/>
  <c r="Q42" i="6"/>
  <c r="Q46" i="6"/>
  <c r="Q50" i="6"/>
  <c r="Q54" i="6"/>
  <c r="Q58" i="6"/>
  <c r="Q62" i="6"/>
  <c r="Q66" i="6"/>
  <c r="Q70" i="6"/>
  <c r="Q74" i="6"/>
  <c r="Q78" i="6"/>
  <c r="Q82" i="6"/>
  <c r="Q86" i="6"/>
  <c r="Q90" i="6"/>
  <c r="Q94" i="6"/>
  <c r="Q98" i="6"/>
  <c r="Q102" i="6"/>
  <c r="Q106" i="6"/>
  <c r="Q110" i="6"/>
  <c r="Q114" i="6"/>
  <c r="Q118" i="6"/>
  <c r="Q122" i="6"/>
  <c r="Q126" i="6"/>
  <c r="Q130" i="6"/>
  <c r="Q134" i="6"/>
  <c r="Q138" i="6"/>
  <c r="Q142" i="6"/>
  <c r="Q146" i="6"/>
  <c r="Q150" i="6"/>
  <c r="Q154" i="6"/>
  <c r="Q158" i="6"/>
  <c r="Q162" i="6"/>
  <c r="Q166" i="6"/>
  <c r="Q170" i="6"/>
  <c r="Q174" i="6"/>
  <c r="Q178" i="6"/>
  <c r="Q182" i="6"/>
  <c r="Q186" i="6"/>
  <c r="Q190" i="6"/>
  <c r="Q194" i="6"/>
  <c r="Q198" i="6"/>
  <c r="Q202" i="6"/>
  <c r="Q206" i="6"/>
  <c r="Q210" i="6"/>
  <c r="Q214" i="6"/>
  <c r="Q218" i="6"/>
  <c r="Q222" i="6"/>
  <c r="Q226" i="6"/>
  <c r="Q230" i="6"/>
  <c r="Q234" i="6"/>
  <c r="Q238" i="6"/>
  <c r="Q242" i="6"/>
  <c r="Q246" i="6"/>
  <c r="W239" i="4" l="1"/>
  <c r="V25" i="4"/>
  <c r="V31" i="4"/>
  <c r="V40" i="4"/>
  <c r="V127" i="4"/>
  <c r="V163" i="4"/>
  <c r="V185" i="4"/>
  <c r="V229" i="4"/>
  <c r="V233" i="4"/>
  <c r="U11" i="4"/>
  <c r="U14" i="4"/>
  <c r="U15" i="4"/>
  <c r="U88" i="4"/>
  <c r="U134" i="4"/>
  <c r="U152" i="4"/>
  <c r="U155" i="4"/>
  <c r="U169" i="4"/>
  <c r="U178" i="4"/>
  <c r="U209" i="4"/>
  <c r="U219" i="4"/>
  <c r="L246" i="4"/>
  <c r="K246" i="4"/>
  <c r="J246" i="4"/>
  <c r="F246" i="4"/>
  <c r="E246" i="4"/>
  <c r="D246" i="4"/>
  <c r="X246" i="4" s="1"/>
  <c r="L245" i="4"/>
  <c r="K245" i="4"/>
  <c r="J245" i="4"/>
  <c r="F245" i="4"/>
  <c r="E245" i="4"/>
  <c r="D245" i="4"/>
  <c r="X245" i="4" s="1"/>
  <c r="L244" i="4"/>
  <c r="K244" i="4"/>
  <c r="J244" i="4"/>
  <c r="F244" i="4"/>
  <c r="E244" i="4"/>
  <c r="D244" i="4"/>
  <c r="X244" i="4" s="1"/>
  <c r="L243" i="4"/>
  <c r="K243" i="4"/>
  <c r="J243" i="4"/>
  <c r="F243" i="4"/>
  <c r="E243" i="4"/>
  <c r="D243" i="4"/>
  <c r="X243" i="4" s="1"/>
  <c r="L242" i="4"/>
  <c r="K242" i="4"/>
  <c r="M242" i="4" s="1"/>
  <c r="J242" i="4"/>
  <c r="F242" i="4"/>
  <c r="E242" i="4"/>
  <c r="D242" i="4"/>
  <c r="X242" i="4" s="1"/>
  <c r="L241" i="4"/>
  <c r="K241" i="4"/>
  <c r="J241" i="4"/>
  <c r="F241" i="4"/>
  <c r="E241" i="4"/>
  <c r="D241" i="4"/>
  <c r="X241" i="4" s="1"/>
  <c r="L240" i="4"/>
  <c r="K240" i="4"/>
  <c r="M240" i="4" s="1"/>
  <c r="J240" i="4"/>
  <c r="F240" i="4"/>
  <c r="E240" i="4"/>
  <c r="D240" i="4"/>
  <c r="X240" i="4" s="1"/>
  <c r="L239" i="4"/>
  <c r="K239" i="4"/>
  <c r="J239" i="4"/>
  <c r="F239" i="4"/>
  <c r="E239" i="4"/>
  <c r="D239" i="4"/>
  <c r="L238" i="4"/>
  <c r="K238" i="4"/>
  <c r="J238" i="4"/>
  <c r="F238" i="4"/>
  <c r="E238" i="4"/>
  <c r="D238" i="4"/>
  <c r="X238" i="4" s="1"/>
  <c r="L237" i="4"/>
  <c r="K237" i="4"/>
  <c r="J237" i="4"/>
  <c r="F237" i="4"/>
  <c r="E237" i="4"/>
  <c r="D237" i="4"/>
  <c r="X237" i="4" s="1"/>
  <c r="L236" i="4"/>
  <c r="K236" i="4"/>
  <c r="J236" i="4"/>
  <c r="F236" i="4"/>
  <c r="E236" i="4"/>
  <c r="D236" i="4"/>
  <c r="X236" i="4" s="1"/>
  <c r="L235" i="4"/>
  <c r="K235" i="4"/>
  <c r="J235" i="4"/>
  <c r="F235" i="4"/>
  <c r="E235" i="4"/>
  <c r="D235" i="4"/>
  <c r="X235" i="4" s="1"/>
  <c r="L234" i="4"/>
  <c r="K234" i="4"/>
  <c r="J234" i="4"/>
  <c r="F234" i="4"/>
  <c r="E234" i="4"/>
  <c r="D234" i="4"/>
  <c r="X234" i="4" s="1"/>
  <c r="L233" i="4"/>
  <c r="K233" i="4"/>
  <c r="J233" i="4"/>
  <c r="F233" i="4"/>
  <c r="E233" i="4"/>
  <c r="D233" i="4"/>
  <c r="X233" i="4" s="1"/>
  <c r="L232" i="4"/>
  <c r="K232" i="4"/>
  <c r="J232" i="4"/>
  <c r="F232" i="4"/>
  <c r="E232" i="4"/>
  <c r="D232" i="4"/>
  <c r="X232" i="4" s="1"/>
  <c r="L231" i="4"/>
  <c r="K231" i="4"/>
  <c r="J231" i="4"/>
  <c r="F231" i="4"/>
  <c r="E231" i="4"/>
  <c r="D231" i="4"/>
  <c r="X231" i="4" s="1"/>
  <c r="L230" i="4"/>
  <c r="K230" i="4"/>
  <c r="J230" i="4"/>
  <c r="F230" i="4"/>
  <c r="E230" i="4"/>
  <c r="D230" i="4"/>
  <c r="X230" i="4" s="1"/>
  <c r="L229" i="4"/>
  <c r="K229" i="4"/>
  <c r="J229" i="4"/>
  <c r="F229" i="4"/>
  <c r="E229" i="4"/>
  <c r="D229" i="4"/>
  <c r="X229" i="4" s="1"/>
  <c r="L228" i="4"/>
  <c r="K228" i="4"/>
  <c r="J228" i="4"/>
  <c r="F228" i="4"/>
  <c r="E228" i="4"/>
  <c r="D228" i="4"/>
  <c r="X228" i="4" s="1"/>
  <c r="L227" i="4"/>
  <c r="K227" i="4"/>
  <c r="J227" i="4"/>
  <c r="F227" i="4"/>
  <c r="E227" i="4"/>
  <c r="D227" i="4"/>
  <c r="X227" i="4" s="1"/>
  <c r="L226" i="4"/>
  <c r="K226" i="4"/>
  <c r="J226" i="4"/>
  <c r="F226" i="4"/>
  <c r="E226" i="4"/>
  <c r="D226" i="4"/>
  <c r="X226" i="4" s="1"/>
  <c r="L225" i="4"/>
  <c r="K225" i="4"/>
  <c r="J225" i="4"/>
  <c r="F225" i="4"/>
  <c r="E225" i="4"/>
  <c r="D225" i="4"/>
  <c r="L224" i="4"/>
  <c r="K224" i="4"/>
  <c r="J224" i="4"/>
  <c r="F224" i="4"/>
  <c r="E224" i="4"/>
  <c r="D224" i="4"/>
  <c r="X224" i="4" s="1"/>
  <c r="L223" i="4"/>
  <c r="K223" i="4"/>
  <c r="J223" i="4"/>
  <c r="F223" i="4"/>
  <c r="E223" i="4"/>
  <c r="D223" i="4"/>
  <c r="X223" i="4" s="1"/>
  <c r="L222" i="4"/>
  <c r="K222" i="4"/>
  <c r="J222" i="4"/>
  <c r="F222" i="4"/>
  <c r="E222" i="4"/>
  <c r="D222" i="4"/>
  <c r="X222" i="4" s="1"/>
  <c r="L221" i="4"/>
  <c r="K221" i="4"/>
  <c r="J221" i="4"/>
  <c r="F221" i="4"/>
  <c r="E221" i="4"/>
  <c r="D221" i="4"/>
  <c r="X221" i="4" s="1"/>
  <c r="L220" i="4"/>
  <c r="K220" i="4"/>
  <c r="J220" i="4"/>
  <c r="F220" i="4"/>
  <c r="E220" i="4"/>
  <c r="D220" i="4"/>
  <c r="X220" i="4" s="1"/>
  <c r="L219" i="4"/>
  <c r="K219" i="4"/>
  <c r="J219" i="4"/>
  <c r="F219" i="4"/>
  <c r="E219" i="4"/>
  <c r="D219" i="4"/>
  <c r="L218" i="4"/>
  <c r="K218" i="4"/>
  <c r="J218" i="4"/>
  <c r="F218" i="4"/>
  <c r="E218" i="4"/>
  <c r="D218" i="4"/>
  <c r="X218" i="4" s="1"/>
  <c r="L217" i="4"/>
  <c r="K217" i="4"/>
  <c r="J217" i="4"/>
  <c r="F217" i="4"/>
  <c r="E217" i="4"/>
  <c r="D217" i="4"/>
  <c r="X217" i="4" s="1"/>
  <c r="L216" i="4"/>
  <c r="K216" i="4"/>
  <c r="J216" i="4"/>
  <c r="F216" i="4"/>
  <c r="E216" i="4"/>
  <c r="D216" i="4"/>
  <c r="X216" i="4" s="1"/>
  <c r="L215" i="4"/>
  <c r="K215" i="4"/>
  <c r="J215" i="4"/>
  <c r="F215" i="4"/>
  <c r="E215" i="4"/>
  <c r="D215" i="4"/>
  <c r="X215" i="4" s="1"/>
  <c r="L214" i="4"/>
  <c r="K214" i="4"/>
  <c r="J214" i="4"/>
  <c r="F214" i="4"/>
  <c r="E214" i="4"/>
  <c r="D214" i="4"/>
  <c r="X214" i="4" s="1"/>
  <c r="L213" i="4"/>
  <c r="K213" i="4"/>
  <c r="J213" i="4"/>
  <c r="F213" i="4"/>
  <c r="E213" i="4"/>
  <c r="D213" i="4"/>
  <c r="X213" i="4" s="1"/>
  <c r="L212" i="4"/>
  <c r="K212" i="4"/>
  <c r="M212" i="4" s="1"/>
  <c r="J212" i="4"/>
  <c r="F212" i="4"/>
  <c r="E212" i="4"/>
  <c r="D212" i="4"/>
  <c r="X212" i="4" s="1"/>
  <c r="L211" i="4"/>
  <c r="K211" i="4"/>
  <c r="J211" i="4"/>
  <c r="F211" i="4"/>
  <c r="E211" i="4"/>
  <c r="D211" i="4"/>
  <c r="X211" i="4" s="1"/>
  <c r="L210" i="4"/>
  <c r="K210" i="4"/>
  <c r="J210" i="4"/>
  <c r="F210" i="4"/>
  <c r="E210" i="4"/>
  <c r="D210" i="4"/>
  <c r="V210" i="4" s="1"/>
  <c r="L209" i="4"/>
  <c r="K209" i="4"/>
  <c r="J209" i="4"/>
  <c r="F209" i="4"/>
  <c r="E209" i="4"/>
  <c r="D209" i="4"/>
  <c r="L208" i="4"/>
  <c r="K208" i="4"/>
  <c r="J208" i="4"/>
  <c r="F208" i="4"/>
  <c r="E208" i="4"/>
  <c r="D208" i="4"/>
  <c r="X208" i="4" s="1"/>
  <c r="L207" i="4"/>
  <c r="K207" i="4"/>
  <c r="J207" i="4"/>
  <c r="F207" i="4"/>
  <c r="E207" i="4"/>
  <c r="D207" i="4"/>
  <c r="L206" i="4"/>
  <c r="K206" i="4"/>
  <c r="J206" i="4"/>
  <c r="F206" i="4"/>
  <c r="E206" i="4"/>
  <c r="D206" i="4"/>
  <c r="X206" i="4" s="1"/>
  <c r="L205" i="4"/>
  <c r="K205" i="4"/>
  <c r="J205" i="4"/>
  <c r="F205" i="4"/>
  <c r="E205" i="4"/>
  <c r="D205" i="4"/>
  <c r="X205" i="4" s="1"/>
  <c r="L204" i="4"/>
  <c r="K204" i="4"/>
  <c r="J204" i="4"/>
  <c r="F204" i="4"/>
  <c r="E204" i="4"/>
  <c r="D204" i="4"/>
  <c r="X204" i="4" s="1"/>
  <c r="L203" i="4"/>
  <c r="K203" i="4"/>
  <c r="J203" i="4"/>
  <c r="F203" i="4"/>
  <c r="E203" i="4"/>
  <c r="D203" i="4"/>
  <c r="X203" i="4" s="1"/>
  <c r="L202" i="4"/>
  <c r="K202" i="4"/>
  <c r="J202" i="4"/>
  <c r="F202" i="4"/>
  <c r="E202" i="4"/>
  <c r="D202" i="4"/>
  <c r="X202" i="4" s="1"/>
  <c r="L201" i="4"/>
  <c r="K201" i="4"/>
  <c r="J201" i="4"/>
  <c r="F201" i="4"/>
  <c r="E201" i="4"/>
  <c r="D201" i="4"/>
  <c r="X201" i="4" s="1"/>
  <c r="L200" i="4"/>
  <c r="K200" i="4"/>
  <c r="J200" i="4"/>
  <c r="F200" i="4"/>
  <c r="E200" i="4"/>
  <c r="D200" i="4"/>
  <c r="X200" i="4" s="1"/>
  <c r="L199" i="4"/>
  <c r="K199" i="4"/>
  <c r="J199" i="4"/>
  <c r="F199" i="4"/>
  <c r="E199" i="4"/>
  <c r="D199" i="4"/>
  <c r="X199" i="4" s="1"/>
  <c r="L198" i="4"/>
  <c r="K198" i="4"/>
  <c r="J198" i="4"/>
  <c r="F198" i="4"/>
  <c r="E198" i="4"/>
  <c r="D198" i="4"/>
  <c r="X198" i="4" s="1"/>
  <c r="L197" i="4"/>
  <c r="K197" i="4"/>
  <c r="J197" i="4"/>
  <c r="F197" i="4"/>
  <c r="E197" i="4"/>
  <c r="D197" i="4"/>
  <c r="X197" i="4" s="1"/>
  <c r="L196" i="4"/>
  <c r="K196" i="4"/>
  <c r="J196" i="4"/>
  <c r="F196" i="4"/>
  <c r="E196" i="4"/>
  <c r="D196" i="4"/>
  <c r="X196" i="4" s="1"/>
  <c r="L195" i="4"/>
  <c r="K195" i="4"/>
  <c r="J195" i="4"/>
  <c r="F195" i="4"/>
  <c r="E195" i="4"/>
  <c r="D195" i="4"/>
  <c r="X195" i="4" s="1"/>
  <c r="L194" i="4"/>
  <c r="K194" i="4"/>
  <c r="J194" i="4"/>
  <c r="F194" i="4"/>
  <c r="E194" i="4"/>
  <c r="D194" i="4"/>
  <c r="X194" i="4" s="1"/>
  <c r="L193" i="4"/>
  <c r="K193" i="4"/>
  <c r="J193" i="4"/>
  <c r="F193" i="4"/>
  <c r="E193" i="4"/>
  <c r="D193" i="4"/>
  <c r="V193" i="4" s="1"/>
  <c r="L192" i="4"/>
  <c r="K192" i="4"/>
  <c r="J192" i="4"/>
  <c r="F192" i="4"/>
  <c r="E192" i="4"/>
  <c r="D192" i="4"/>
  <c r="X192" i="4" s="1"/>
  <c r="L191" i="4"/>
  <c r="K191" i="4"/>
  <c r="J191" i="4"/>
  <c r="F191" i="4"/>
  <c r="E191" i="4"/>
  <c r="D191" i="4"/>
  <c r="X191" i="4" s="1"/>
  <c r="L190" i="4"/>
  <c r="K190" i="4"/>
  <c r="M190" i="4" s="1"/>
  <c r="J190" i="4"/>
  <c r="F190" i="4"/>
  <c r="E190" i="4"/>
  <c r="D190" i="4"/>
  <c r="X190" i="4" s="1"/>
  <c r="L189" i="4"/>
  <c r="K189" i="4"/>
  <c r="J189" i="4"/>
  <c r="F189" i="4"/>
  <c r="E189" i="4"/>
  <c r="D189" i="4"/>
  <c r="X189" i="4" s="1"/>
  <c r="L188" i="4"/>
  <c r="K188" i="4"/>
  <c r="J188" i="4"/>
  <c r="F188" i="4"/>
  <c r="E188" i="4"/>
  <c r="D188" i="4"/>
  <c r="X188" i="4" s="1"/>
  <c r="L187" i="4"/>
  <c r="K187" i="4"/>
  <c r="J187" i="4"/>
  <c r="F187" i="4"/>
  <c r="E187" i="4"/>
  <c r="D187" i="4"/>
  <c r="L186" i="4"/>
  <c r="K186" i="4"/>
  <c r="J186" i="4"/>
  <c r="F186" i="4"/>
  <c r="E186" i="4"/>
  <c r="D186" i="4"/>
  <c r="X186" i="4" s="1"/>
  <c r="L185" i="4"/>
  <c r="K185" i="4"/>
  <c r="J185" i="4"/>
  <c r="F185" i="4"/>
  <c r="E185" i="4"/>
  <c r="D185" i="4"/>
  <c r="X185" i="4" s="1"/>
  <c r="L184" i="4"/>
  <c r="K184" i="4"/>
  <c r="J184" i="4"/>
  <c r="F184" i="4"/>
  <c r="E184" i="4"/>
  <c r="D184" i="4"/>
  <c r="X184" i="4" s="1"/>
  <c r="L183" i="4"/>
  <c r="K183" i="4"/>
  <c r="J183" i="4"/>
  <c r="F183" i="4"/>
  <c r="E183" i="4"/>
  <c r="D183" i="4"/>
  <c r="X183" i="4" s="1"/>
  <c r="L182" i="4"/>
  <c r="K182" i="4"/>
  <c r="M182" i="4" s="1"/>
  <c r="J182" i="4"/>
  <c r="F182" i="4"/>
  <c r="E182" i="4"/>
  <c r="D182" i="4"/>
  <c r="X182" i="4" s="1"/>
  <c r="L181" i="4"/>
  <c r="K181" i="4"/>
  <c r="J181" i="4"/>
  <c r="F181" i="4"/>
  <c r="E181" i="4"/>
  <c r="D181" i="4"/>
  <c r="X181" i="4" s="1"/>
  <c r="L180" i="4"/>
  <c r="K180" i="4"/>
  <c r="J180" i="4"/>
  <c r="F180" i="4"/>
  <c r="E180" i="4"/>
  <c r="D180" i="4"/>
  <c r="X180" i="4" s="1"/>
  <c r="L179" i="4"/>
  <c r="K179" i="4"/>
  <c r="J179" i="4"/>
  <c r="F179" i="4"/>
  <c r="E179" i="4"/>
  <c r="D179" i="4"/>
  <c r="X179" i="4" s="1"/>
  <c r="L178" i="4"/>
  <c r="K178" i="4"/>
  <c r="J178" i="4"/>
  <c r="F178" i="4"/>
  <c r="E178" i="4"/>
  <c r="D178" i="4"/>
  <c r="X178" i="4" s="1"/>
  <c r="L177" i="4"/>
  <c r="K177" i="4"/>
  <c r="J177" i="4"/>
  <c r="F177" i="4"/>
  <c r="E177" i="4"/>
  <c r="D177" i="4"/>
  <c r="V177" i="4" s="1"/>
  <c r="L176" i="4"/>
  <c r="K176" i="4"/>
  <c r="M176" i="4" s="1"/>
  <c r="J176" i="4"/>
  <c r="F176" i="4"/>
  <c r="E176" i="4"/>
  <c r="D176" i="4"/>
  <c r="X176" i="4" s="1"/>
  <c r="L175" i="4"/>
  <c r="K175" i="4"/>
  <c r="J175" i="4"/>
  <c r="F175" i="4"/>
  <c r="E175" i="4"/>
  <c r="D175" i="4"/>
  <c r="X175" i="4" s="1"/>
  <c r="L174" i="4"/>
  <c r="K174" i="4"/>
  <c r="J174" i="4"/>
  <c r="F174" i="4"/>
  <c r="E174" i="4"/>
  <c r="D174" i="4"/>
  <c r="U174" i="4" s="1"/>
  <c r="L173" i="4"/>
  <c r="K173" i="4"/>
  <c r="J173" i="4"/>
  <c r="F173" i="4"/>
  <c r="E173" i="4"/>
  <c r="D173" i="4"/>
  <c r="X173" i="4" s="1"/>
  <c r="L172" i="4"/>
  <c r="K172" i="4"/>
  <c r="M172" i="4" s="1"/>
  <c r="J172" i="4"/>
  <c r="F172" i="4"/>
  <c r="E172" i="4"/>
  <c r="D172" i="4"/>
  <c r="X172" i="4" s="1"/>
  <c r="L171" i="4"/>
  <c r="K171" i="4"/>
  <c r="J171" i="4"/>
  <c r="F171" i="4"/>
  <c r="E171" i="4"/>
  <c r="D171" i="4"/>
  <c r="X171" i="4" s="1"/>
  <c r="L170" i="4"/>
  <c r="K170" i="4"/>
  <c r="J170" i="4"/>
  <c r="F170" i="4"/>
  <c r="E170" i="4"/>
  <c r="D170" i="4"/>
  <c r="X170" i="4" s="1"/>
  <c r="L169" i="4"/>
  <c r="K169" i="4"/>
  <c r="J169" i="4"/>
  <c r="F169" i="4"/>
  <c r="E169" i="4"/>
  <c r="D169" i="4"/>
  <c r="X169" i="4" s="1"/>
  <c r="L168" i="4"/>
  <c r="K168" i="4"/>
  <c r="J168" i="4"/>
  <c r="F168" i="4"/>
  <c r="E168" i="4"/>
  <c r="D168" i="4"/>
  <c r="X168" i="4" s="1"/>
  <c r="L167" i="4"/>
  <c r="K167" i="4"/>
  <c r="J167" i="4"/>
  <c r="F167" i="4"/>
  <c r="E167" i="4"/>
  <c r="D167" i="4"/>
  <c r="U167" i="4" s="1"/>
  <c r="L166" i="4"/>
  <c r="K166" i="4"/>
  <c r="J166" i="4"/>
  <c r="F166" i="4"/>
  <c r="E166" i="4"/>
  <c r="D166" i="4"/>
  <c r="X166" i="4" s="1"/>
  <c r="L165" i="4"/>
  <c r="K165" i="4"/>
  <c r="J165" i="4"/>
  <c r="F165" i="4"/>
  <c r="E165" i="4"/>
  <c r="D165" i="4"/>
  <c r="X165" i="4" s="1"/>
  <c r="L164" i="4"/>
  <c r="K164" i="4"/>
  <c r="J164" i="4"/>
  <c r="F164" i="4"/>
  <c r="E164" i="4"/>
  <c r="D164" i="4"/>
  <c r="X164" i="4" s="1"/>
  <c r="L163" i="4"/>
  <c r="K163" i="4"/>
  <c r="J163" i="4"/>
  <c r="F163" i="4"/>
  <c r="E163" i="4"/>
  <c r="D163" i="4"/>
  <c r="X163" i="4" s="1"/>
  <c r="L162" i="4"/>
  <c r="K162" i="4"/>
  <c r="J162" i="4"/>
  <c r="F162" i="4"/>
  <c r="E162" i="4"/>
  <c r="D162" i="4"/>
  <c r="X162" i="4" s="1"/>
  <c r="L161" i="4"/>
  <c r="K161" i="4"/>
  <c r="J161" i="4"/>
  <c r="F161" i="4"/>
  <c r="E161" i="4"/>
  <c r="D161" i="4"/>
  <c r="X161" i="4" s="1"/>
  <c r="L160" i="4"/>
  <c r="K160" i="4"/>
  <c r="J160" i="4"/>
  <c r="F160" i="4"/>
  <c r="E160" i="4"/>
  <c r="D160" i="4"/>
  <c r="X160" i="4" s="1"/>
  <c r="L159" i="4"/>
  <c r="K159" i="4"/>
  <c r="J159" i="4"/>
  <c r="F159" i="4"/>
  <c r="E159" i="4"/>
  <c r="D159" i="4"/>
  <c r="L158" i="4"/>
  <c r="K158" i="4"/>
  <c r="J158" i="4"/>
  <c r="F158" i="4"/>
  <c r="E158" i="4"/>
  <c r="D158" i="4"/>
  <c r="X158" i="4" s="1"/>
  <c r="L157" i="4"/>
  <c r="K157" i="4"/>
  <c r="J157" i="4"/>
  <c r="F157" i="4"/>
  <c r="E157" i="4"/>
  <c r="D157" i="4"/>
  <c r="X157" i="4" s="1"/>
  <c r="L156" i="4"/>
  <c r="K156" i="4"/>
  <c r="J156" i="4"/>
  <c r="F156" i="4"/>
  <c r="E156" i="4"/>
  <c r="D156" i="4"/>
  <c r="X156" i="4" s="1"/>
  <c r="L155" i="4"/>
  <c r="K155" i="4"/>
  <c r="J155" i="4"/>
  <c r="F155" i="4"/>
  <c r="E155" i="4"/>
  <c r="D155" i="4"/>
  <c r="X155" i="4" s="1"/>
  <c r="L154" i="4"/>
  <c r="K154" i="4"/>
  <c r="M154" i="4" s="1"/>
  <c r="J154" i="4"/>
  <c r="F154" i="4"/>
  <c r="E154" i="4"/>
  <c r="D154" i="4"/>
  <c r="X154" i="4" s="1"/>
  <c r="L153" i="4"/>
  <c r="K153" i="4"/>
  <c r="J153" i="4"/>
  <c r="F153" i="4"/>
  <c r="E153" i="4"/>
  <c r="D153" i="4"/>
  <c r="X153" i="4" s="1"/>
  <c r="L152" i="4"/>
  <c r="K152" i="4"/>
  <c r="J152" i="4"/>
  <c r="F152" i="4"/>
  <c r="E152" i="4"/>
  <c r="D152" i="4"/>
  <c r="X152" i="4" s="1"/>
  <c r="L151" i="4"/>
  <c r="K151" i="4"/>
  <c r="J151" i="4"/>
  <c r="F151" i="4"/>
  <c r="E151" i="4"/>
  <c r="D151" i="4"/>
  <c r="X151" i="4" s="1"/>
  <c r="L150" i="4"/>
  <c r="K150" i="4"/>
  <c r="J150" i="4"/>
  <c r="F150" i="4"/>
  <c r="E150" i="4"/>
  <c r="D150" i="4"/>
  <c r="X150" i="4" s="1"/>
  <c r="L149" i="4"/>
  <c r="K149" i="4"/>
  <c r="J149" i="4"/>
  <c r="F149" i="4"/>
  <c r="E149" i="4"/>
  <c r="D149" i="4"/>
  <c r="X149" i="4" s="1"/>
  <c r="L148" i="4"/>
  <c r="K148" i="4"/>
  <c r="J148" i="4"/>
  <c r="F148" i="4"/>
  <c r="E148" i="4"/>
  <c r="D148" i="4"/>
  <c r="X148" i="4" s="1"/>
  <c r="L147" i="4"/>
  <c r="K147" i="4"/>
  <c r="J147" i="4"/>
  <c r="F147" i="4"/>
  <c r="E147" i="4"/>
  <c r="D147" i="4"/>
  <c r="X147" i="4" s="1"/>
  <c r="L146" i="4"/>
  <c r="K146" i="4"/>
  <c r="M146" i="4" s="1"/>
  <c r="J146" i="4"/>
  <c r="F146" i="4"/>
  <c r="E146" i="4"/>
  <c r="D146" i="4"/>
  <c r="X146" i="4" s="1"/>
  <c r="L145" i="4"/>
  <c r="K145" i="4"/>
  <c r="J145" i="4"/>
  <c r="F145" i="4"/>
  <c r="E145" i="4"/>
  <c r="D145" i="4"/>
  <c r="X145" i="4" s="1"/>
  <c r="L144" i="4"/>
  <c r="K144" i="4"/>
  <c r="J144" i="4"/>
  <c r="F144" i="4"/>
  <c r="E144" i="4"/>
  <c r="D144" i="4"/>
  <c r="X144" i="4" s="1"/>
  <c r="L143" i="4"/>
  <c r="K143" i="4"/>
  <c r="J143" i="4"/>
  <c r="F143" i="4"/>
  <c r="E143" i="4"/>
  <c r="D143" i="4"/>
  <c r="X143" i="4" s="1"/>
  <c r="L142" i="4"/>
  <c r="K142" i="4"/>
  <c r="J142" i="4"/>
  <c r="F142" i="4"/>
  <c r="E142" i="4"/>
  <c r="D142" i="4"/>
  <c r="X142" i="4" s="1"/>
  <c r="L141" i="4"/>
  <c r="K141" i="4"/>
  <c r="J141" i="4"/>
  <c r="F141" i="4"/>
  <c r="E141" i="4"/>
  <c r="D141" i="4"/>
  <c r="X141" i="4" s="1"/>
  <c r="L140" i="4"/>
  <c r="K140" i="4"/>
  <c r="J140" i="4"/>
  <c r="F140" i="4"/>
  <c r="E140" i="4"/>
  <c r="D140" i="4"/>
  <c r="X140" i="4" s="1"/>
  <c r="L139" i="4"/>
  <c r="K139" i="4"/>
  <c r="J139" i="4"/>
  <c r="F139" i="4"/>
  <c r="E139" i="4"/>
  <c r="D139" i="4"/>
  <c r="X139" i="4" s="1"/>
  <c r="L138" i="4"/>
  <c r="K138" i="4"/>
  <c r="J138" i="4"/>
  <c r="F138" i="4"/>
  <c r="E138" i="4"/>
  <c r="D138" i="4"/>
  <c r="X138" i="4" s="1"/>
  <c r="L137" i="4"/>
  <c r="K137" i="4"/>
  <c r="J137" i="4"/>
  <c r="F137" i="4"/>
  <c r="E137" i="4"/>
  <c r="D137" i="4"/>
  <c r="X137" i="4" s="1"/>
  <c r="L136" i="4"/>
  <c r="K136" i="4"/>
  <c r="J136" i="4"/>
  <c r="F136" i="4"/>
  <c r="E136" i="4"/>
  <c r="D136" i="4"/>
  <c r="X136" i="4" s="1"/>
  <c r="L135" i="4"/>
  <c r="K135" i="4"/>
  <c r="J135" i="4"/>
  <c r="F135" i="4"/>
  <c r="E135" i="4"/>
  <c r="D135" i="4"/>
  <c r="X135" i="4" s="1"/>
  <c r="L134" i="4"/>
  <c r="K134" i="4"/>
  <c r="J134" i="4"/>
  <c r="F134" i="4"/>
  <c r="E134" i="4"/>
  <c r="D134" i="4"/>
  <c r="X134" i="4" s="1"/>
  <c r="L133" i="4"/>
  <c r="K133" i="4"/>
  <c r="J133" i="4"/>
  <c r="F133" i="4"/>
  <c r="E133" i="4"/>
  <c r="D133" i="4"/>
  <c r="X133" i="4" s="1"/>
  <c r="L132" i="4"/>
  <c r="K132" i="4"/>
  <c r="J132" i="4"/>
  <c r="F132" i="4"/>
  <c r="E132" i="4"/>
  <c r="D132" i="4"/>
  <c r="X132" i="4" s="1"/>
  <c r="L131" i="4"/>
  <c r="K131" i="4"/>
  <c r="J131" i="4"/>
  <c r="F131" i="4"/>
  <c r="E131" i="4"/>
  <c r="D131" i="4"/>
  <c r="X131" i="4" s="1"/>
  <c r="L130" i="4"/>
  <c r="K130" i="4"/>
  <c r="J130" i="4"/>
  <c r="F130" i="4"/>
  <c r="E130" i="4"/>
  <c r="D130" i="4"/>
  <c r="X130" i="4" s="1"/>
  <c r="L129" i="4"/>
  <c r="K129" i="4"/>
  <c r="J129" i="4"/>
  <c r="F129" i="4"/>
  <c r="E129" i="4"/>
  <c r="D129" i="4"/>
  <c r="X129" i="4" s="1"/>
  <c r="L128" i="4"/>
  <c r="K128" i="4"/>
  <c r="J128" i="4"/>
  <c r="F128" i="4"/>
  <c r="E128" i="4"/>
  <c r="D128" i="4"/>
  <c r="X128" i="4" s="1"/>
  <c r="L127" i="4"/>
  <c r="K127" i="4"/>
  <c r="J127" i="4"/>
  <c r="F127" i="4"/>
  <c r="E127" i="4"/>
  <c r="D127" i="4"/>
  <c r="L126" i="4"/>
  <c r="K126" i="4"/>
  <c r="J126" i="4"/>
  <c r="F126" i="4"/>
  <c r="E126" i="4"/>
  <c r="D126" i="4"/>
  <c r="X126" i="4" s="1"/>
  <c r="L125" i="4"/>
  <c r="K125" i="4"/>
  <c r="J125" i="4"/>
  <c r="F125" i="4"/>
  <c r="E125" i="4"/>
  <c r="D125" i="4"/>
  <c r="L124" i="4"/>
  <c r="K124" i="4"/>
  <c r="J124" i="4"/>
  <c r="F124" i="4"/>
  <c r="E124" i="4"/>
  <c r="D124" i="4"/>
  <c r="X124" i="4" s="1"/>
  <c r="L123" i="4"/>
  <c r="K123" i="4"/>
  <c r="J123" i="4"/>
  <c r="F123" i="4"/>
  <c r="E123" i="4"/>
  <c r="D123" i="4"/>
  <c r="X123" i="4" s="1"/>
  <c r="L122" i="4"/>
  <c r="K122" i="4"/>
  <c r="J122" i="4"/>
  <c r="F122" i="4"/>
  <c r="E122" i="4"/>
  <c r="D122" i="4"/>
  <c r="X122" i="4" s="1"/>
  <c r="L121" i="4"/>
  <c r="K121" i="4"/>
  <c r="J121" i="4"/>
  <c r="F121" i="4"/>
  <c r="E121" i="4"/>
  <c r="D121" i="4"/>
  <c r="L120" i="4"/>
  <c r="K120" i="4"/>
  <c r="J120" i="4"/>
  <c r="F120" i="4"/>
  <c r="E120" i="4"/>
  <c r="D120" i="4"/>
  <c r="X120" i="4" s="1"/>
  <c r="L119" i="4"/>
  <c r="K119" i="4"/>
  <c r="J119" i="4"/>
  <c r="F119" i="4"/>
  <c r="E119" i="4"/>
  <c r="D119" i="4"/>
  <c r="L118" i="4"/>
  <c r="K118" i="4"/>
  <c r="J118" i="4"/>
  <c r="F118" i="4"/>
  <c r="E118" i="4"/>
  <c r="D118" i="4"/>
  <c r="X118" i="4" s="1"/>
  <c r="L117" i="4"/>
  <c r="K117" i="4"/>
  <c r="J117" i="4"/>
  <c r="F117" i="4"/>
  <c r="E117" i="4"/>
  <c r="D117" i="4"/>
  <c r="X117" i="4" s="1"/>
  <c r="L116" i="4"/>
  <c r="K116" i="4"/>
  <c r="J116" i="4"/>
  <c r="F116" i="4"/>
  <c r="E116" i="4"/>
  <c r="D116" i="4"/>
  <c r="X116" i="4" s="1"/>
  <c r="L115" i="4"/>
  <c r="K115" i="4"/>
  <c r="J115" i="4"/>
  <c r="F115" i="4"/>
  <c r="E115" i="4"/>
  <c r="D115" i="4"/>
  <c r="X115" i="4" s="1"/>
  <c r="L114" i="4"/>
  <c r="K114" i="4"/>
  <c r="J114" i="4"/>
  <c r="F114" i="4"/>
  <c r="E114" i="4"/>
  <c r="D114" i="4"/>
  <c r="X114" i="4" s="1"/>
  <c r="L113" i="4"/>
  <c r="K113" i="4"/>
  <c r="J113" i="4"/>
  <c r="F113" i="4"/>
  <c r="E113" i="4"/>
  <c r="D113" i="4"/>
  <c r="X113" i="4" s="1"/>
  <c r="L112" i="4"/>
  <c r="K112" i="4"/>
  <c r="J112" i="4"/>
  <c r="F112" i="4"/>
  <c r="E112" i="4"/>
  <c r="D112" i="4"/>
  <c r="X112" i="4" s="1"/>
  <c r="L111" i="4"/>
  <c r="K111" i="4"/>
  <c r="J111" i="4"/>
  <c r="F111" i="4"/>
  <c r="E111" i="4"/>
  <c r="D111" i="4"/>
  <c r="X111" i="4" s="1"/>
  <c r="L110" i="4"/>
  <c r="K110" i="4"/>
  <c r="J110" i="4"/>
  <c r="F110" i="4"/>
  <c r="E110" i="4"/>
  <c r="D110" i="4"/>
  <c r="X110" i="4" s="1"/>
  <c r="L109" i="4"/>
  <c r="K109" i="4"/>
  <c r="J109" i="4"/>
  <c r="F109" i="4"/>
  <c r="E109" i="4"/>
  <c r="D109" i="4"/>
  <c r="X109" i="4" s="1"/>
  <c r="L108" i="4"/>
  <c r="K108" i="4"/>
  <c r="J108" i="4"/>
  <c r="F108" i="4"/>
  <c r="E108" i="4"/>
  <c r="D108" i="4"/>
  <c r="X108" i="4" s="1"/>
  <c r="L107" i="4"/>
  <c r="K107" i="4"/>
  <c r="J107" i="4"/>
  <c r="F107" i="4"/>
  <c r="E107" i="4"/>
  <c r="D107" i="4"/>
  <c r="X107" i="4" s="1"/>
  <c r="L106" i="4"/>
  <c r="K106" i="4"/>
  <c r="J106" i="4"/>
  <c r="F106" i="4"/>
  <c r="E106" i="4"/>
  <c r="D106" i="4"/>
  <c r="X106" i="4" s="1"/>
  <c r="L105" i="4"/>
  <c r="K105" i="4"/>
  <c r="J105" i="4"/>
  <c r="F105" i="4"/>
  <c r="E105" i="4"/>
  <c r="D105" i="4"/>
  <c r="L104" i="4"/>
  <c r="K104" i="4"/>
  <c r="J104" i="4"/>
  <c r="F104" i="4"/>
  <c r="E104" i="4"/>
  <c r="D104" i="4"/>
  <c r="L103" i="4"/>
  <c r="K103" i="4"/>
  <c r="J103" i="4"/>
  <c r="F103" i="4"/>
  <c r="E103" i="4"/>
  <c r="D103" i="4"/>
  <c r="X103" i="4" s="1"/>
  <c r="L102" i="4"/>
  <c r="K102" i="4"/>
  <c r="J102" i="4"/>
  <c r="F102" i="4"/>
  <c r="E102" i="4"/>
  <c r="D102" i="4"/>
  <c r="X102" i="4" s="1"/>
  <c r="L101" i="4"/>
  <c r="K101" i="4"/>
  <c r="J101" i="4"/>
  <c r="F101" i="4"/>
  <c r="E101" i="4"/>
  <c r="D101" i="4"/>
  <c r="X101" i="4" s="1"/>
  <c r="L100" i="4"/>
  <c r="K100" i="4"/>
  <c r="J100" i="4"/>
  <c r="F100" i="4"/>
  <c r="E100" i="4"/>
  <c r="D100" i="4"/>
  <c r="X100" i="4" s="1"/>
  <c r="L99" i="4"/>
  <c r="K99" i="4"/>
  <c r="J99" i="4"/>
  <c r="F99" i="4"/>
  <c r="E99" i="4"/>
  <c r="D99" i="4"/>
  <c r="X99" i="4" s="1"/>
  <c r="L98" i="4"/>
  <c r="K98" i="4"/>
  <c r="J98" i="4"/>
  <c r="F98" i="4"/>
  <c r="E98" i="4"/>
  <c r="D98" i="4"/>
  <c r="X98" i="4" s="1"/>
  <c r="L97" i="4"/>
  <c r="K97" i="4"/>
  <c r="J97" i="4"/>
  <c r="F97" i="4"/>
  <c r="E97" i="4"/>
  <c r="D97" i="4"/>
  <c r="X97" i="4" s="1"/>
  <c r="L96" i="4"/>
  <c r="K96" i="4"/>
  <c r="M96" i="4" s="1"/>
  <c r="J96" i="4"/>
  <c r="F96" i="4"/>
  <c r="E96" i="4"/>
  <c r="D96" i="4"/>
  <c r="X96" i="4" s="1"/>
  <c r="L95" i="4"/>
  <c r="K95" i="4"/>
  <c r="J95" i="4"/>
  <c r="F95" i="4"/>
  <c r="E95" i="4"/>
  <c r="D95" i="4"/>
  <c r="X95" i="4" s="1"/>
  <c r="L94" i="4"/>
  <c r="K94" i="4"/>
  <c r="M94" i="4" s="1"/>
  <c r="J94" i="4"/>
  <c r="F94" i="4"/>
  <c r="E94" i="4"/>
  <c r="D94" i="4"/>
  <c r="X94" i="4" s="1"/>
  <c r="L93" i="4"/>
  <c r="K93" i="4"/>
  <c r="J93" i="4"/>
  <c r="F93" i="4"/>
  <c r="E93" i="4"/>
  <c r="D93" i="4"/>
  <c r="X93" i="4" s="1"/>
  <c r="L92" i="4"/>
  <c r="K92" i="4"/>
  <c r="J92" i="4"/>
  <c r="F92" i="4"/>
  <c r="E92" i="4"/>
  <c r="D92" i="4"/>
  <c r="X92" i="4" s="1"/>
  <c r="L91" i="4"/>
  <c r="K91" i="4"/>
  <c r="J91" i="4"/>
  <c r="F91" i="4"/>
  <c r="E91" i="4"/>
  <c r="D91" i="4"/>
  <c r="X91" i="4" s="1"/>
  <c r="L90" i="4"/>
  <c r="K90" i="4"/>
  <c r="J90" i="4"/>
  <c r="F90" i="4"/>
  <c r="E90" i="4"/>
  <c r="D90" i="4"/>
  <c r="X90" i="4" s="1"/>
  <c r="L89" i="4"/>
  <c r="K89" i="4"/>
  <c r="J89" i="4"/>
  <c r="F89" i="4"/>
  <c r="E89" i="4"/>
  <c r="D89" i="4"/>
  <c r="L88" i="4"/>
  <c r="K88" i="4"/>
  <c r="J88" i="4"/>
  <c r="F88" i="4"/>
  <c r="E88" i="4"/>
  <c r="D88" i="4"/>
  <c r="X88" i="4" s="1"/>
  <c r="L87" i="4"/>
  <c r="K87" i="4"/>
  <c r="J87" i="4"/>
  <c r="F87" i="4"/>
  <c r="E87" i="4"/>
  <c r="D87" i="4"/>
  <c r="X87" i="4" s="1"/>
  <c r="L86" i="4"/>
  <c r="K86" i="4"/>
  <c r="J86" i="4"/>
  <c r="F86" i="4"/>
  <c r="E86" i="4"/>
  <c r="D86" i="4"/>
  <c r="X86" i="4" s="1"/>
  <c r="L85" i="4"/>
  <c r="K85" i="4"/>
  <c r="J85" i="4"/>
  <c r="F85" i="4"/>
  <c r="E85" i="4"/>
  <c r="D85" i="4"/>
  <c r="X85" i="4" s="1"/>
  <c r="L84" i="4"/>
  <c r="K84" i="4"/>
  <c r="J84" i="4"/>
  <c r="F84" i="4"/>
  <c r="E84" i="4"/>
  <c r="D84" i="4"/>
  <c r="X84" i="4" s="1"/>
  <c r="L83" i="4"/>
  <c r="K83" i="4"/>
  <c r="J83" i="4"/>
  <c r="F83" i="4"/>
  <c r="E83" i="4"/>
  <c r="D83" i="4"/>
  <c r="X83" i="4" s="1"/>
  <c r="L82" i="4"/>
  <c r="K82" i="4"/>
  <c r="J82" i="4"/>
  <c r="F82" i="4"/>
  <c r="E82" i="4"/>
  <c r="D82" i="4"/>
  <c r="X82" i="4" s="1"/>
  <c r="L81" i="4"/>
  <c r="K81" i="4"/>
  <c r="J81" i="4"/>
  <c r="F81" i="4"/>
  <c r="E81" i="4"/>
  <c r="D81" i="4"/>
  <c r="X81" i="4" s="1"/>
  <c r="L80" i="4"/>
  <c r="K80" i="4"/>
  <c r="J80" i="4"/>
  <c r="F80" i="4"/>
  <c r="E80" i="4"/>
  <c r="D80" i="4"/>
  <c r="X80" i="4" s="1"/>
  <c r="L79" i="4"/>
  <c r="K79" i="4"/>
  <c r="J79" i="4"/>
  <c r="F79" i="4"/>
  <c r="E79" i="4"/>
  <c r="D79" i="4"/>
  <c r="L78" i="4"/>
  <c r="K78" i="4"/>
  <c r="J78" i="4"/>
  <c r="F78" i="4"/>
  <c r="E78" i="4"/>
  <c r="D78" i="4"/>
  <c r="X78" i="4" s="1"/>
  <c r="L77" i="4"/>
  <c r="K77" i="4"/>
  <c r="J77" i="4"/>
  <c r="F77" i="4"/>
  <c r="E77" i="4"/>
  <c r="D77" i="4"/>
  <c r="X77" i="4" s="1"/>
  <c r="L76" i="4"/>
  <c r="K76" i="4"/>
  <c r="J76" i="4"/>
  <c r="F76" i="4"/>
  <c r="E76" i="4"/>
  <c r="D76" i="4"/>
  <c r="X76" i="4" s="1"/>
  <c r="L75" i="4"/>
  <c r="K75" i="4"/>
  <c r="J75" i="4"/>
  <c r="F75" i="4"/>
  <c r="E75" i="4"/>
  <c r="D75" i="4"/>
  <c r="X75" i="4" s="1"/>
  <c r="L74" i="4"/>
  <c r="K74" i="4"/>
  <c r="J74" i="4"/>
  <c r="F74" i="4"/>
  <c r="E74" i="4"/>
  <c r="D74" i="4"/>
  <c r="X74" i="4" s="1"/>
  <c r="L73" i="4"/>
  <c r="K73" i="4"/>
  <c r="J73" i="4"/>
  <c r="F73" i="4"/>
  <c r="E73" i="4"/>
  <c r="D73" i="4"/>
  <c r="L72" i="4"/>
  <c r="K72" i="4"/>
  <c r="J72" i="4"/>
  <c r="F72" i="4"/>
  <c r="E72" i="4"/>
  <c r="D72" i="4"/>
  <c r="X72" i="4" s="1"/>
  <c r="L71" i="4"/>
  <c r="K71" i="4"/>
  <c r="J71" i="4"/>
  <c r="F71" i="4"/>
  <c r="E71" i="4"/>
  <c r="D71" i="4"/>
  <c r="X71" i="4" s="1"/>
  <c r="L70" i="4"/>
  <c r="K70" i="4"/>
  <c r="J70" i="4"/>
  <c r="F70" i="4"/>
  <c r="E70" i="4"/>
  <c r="D70" i="4"/>
  <c r="X70" i="4" s="1"/>
  <c r="L69" i="4"/>
  <c r="K69" i="4"/>
  <c r="J69" i="4"/>
  <c r="F69" i="4"/>
  <c r="E69" i="4"/>
  <c r="D69" i="4"/>
  <c r="X69" i="4" s="1"/>
  <c r="L68" i="4"/>
  <c r="K68" i="4"/>
  <c r="J68" i="4"/>
  <c r="F68" i="4"/>
  <c r="E68" i="4"/>
  <c r="D68" i="4"/>
  <c r="X68" i="4" s="1"/>
  <c r="L67" i="4"/>
  <c r="K67" i="4"/>
  <c r="J67" i="4"/>
  <c r="F67" i="4"/>
  <c r="E67" i="4"/>
  <c r="D67" i="4"/>
  <c r="X67" i="4" s="1"/>
  <c r="L66" i="4"/>
  <c r="K66" i="4"/>
  <c r="J66" i="4"/>
  <c r="F66" i="4"/>
  <c r="E66" i="4"/>
  <c r="D66" i="4"/>
  <c r="X66" i="4" s="1"/>
  <c r="L65" i="4"/>
  <c r="K65" i="4"/>
  <c r="J65" i="4"/>
  <c r="F65" i="4"/>
  <c r="E65" i="4"/>
  <c r="D65" i="4"/>
  <c r="X65" i="4" s="1"/>
  <c r="L64" i="4"/>
  <c r="K64" i="4"/>
  <c r="M64" i="4" s="1"/>
  <c r="J64" i="4"/>
  <c r="F64" i="4"/>
  <c r="E64" i="4"/>
  <c r="D64" i="4"/>
  <c r="X64" i="4" s="1"/>
  <c r="L63" i="4"/>
  <c r="K63" i="4"/>
  <c r="J63" i="4"/>
  <c r="F63" i="4"/>
  <c r="E63" i="4"/>
  <c r="D63" i="4"/>
  <c r="X63" i="4" s="1"/>
  <c r="L62" i="4"/>
  <c r="K62" i="4"/>
  <c r="J62" i="4"/>
  <c r="F62" i="4"/>
  <c r="E62" i="4"/>
  <c r="D62" i="4"/>
  <c r="X62" i="4" s="1"/>
  <c r="L61" i="4"/>
  <c r="K61" i="4"/>
  <c r="J61" i="4"/>
  <c r="F61" i="4"/>
  <c r="E61" i="4"/>
  <c r="D61" i="4"/>
  <c r="L60" i="4"/>
  <c r="K60" i="4"/>
  <c r="J60" i="4"/>
  <c r="F60" i="4"/>
  <c r="E60" i="4"/>
  <c r="D60" i="4"/>
  <c r="X60" i="4" s="1"/>
  <c r="L59" i="4"/>
  <c r="K59" i="4"/>
  <c r="J59" i="4"/>
  <c r="F59" i="4"/>
  <c r="E59" i="4"/>
  <c r="D59" i="4"/>
  <c r="X59" i="4" s="1"/>
  <c r="L58" i="4"/>
  <c r="K58" i="4"/>
  <c r="J58" i="4"/>
  <c r="F58" i="4"/>
  <c r="E58" i="4"/>
  <c r="D58" i="4"/>
  <c r="X58" i="4" s="1"/>
  <c r="L57" i="4"/>
  <c r="K57" i="4"/>
  <c r="J57" i="4"/>
  <c r="F57" i="4"/>
  <c r="E57" i="4"/>
  <c r="D57" i="4"/>
  <c r="X57" i="4" s="1"/>
  <c r="L56" i="4"/>
  <c r="K56" i="4"/>
  <c r="J56" i="4"/>
  <c r="F56" i="4"/>
  <c r="E56" i="4"/>
  <c r="D56" i="4"/>
  <c r="X56" i="4" s="1"/>
  <c r="L55" i="4"/>
  <c r="K55" i="4"/>
  <c r="J55" i="4"/>
  <c r="F55" i="4"/>
  <c r="E55" i="4"/>
  <c r="D55" i="4"/>
  <c r="X55" i="4" s="1"/>
  <c r="L54" i="4"/>
  <c r="K54" i="4"/>
  <c r="J54" i="4"/>
  <c r="F54" i="4"/>
  <c r="E54" i="4"/>
  <c r="D54" i="4"/>
  <c r="X54" i="4" s="1"/>
  <c r="L53" i="4"/>
  <c r="K53" i="4"/>
  <c r="J53" i="4"/>
  <c r="F53" i="4"/>
  <c r="E53" i="4"/>
  <c r="D53" i="4"/>
  <c r="L52" i="4"/>
  <c r="K52" i="4"/>
  <c r="J52" i="4"/>
  <c r="F52" i="4"/>
  <c r="E52" i="4"/>
  <c r="D52" i="4"/>
  <c r="X52" i="4" s="1"/>
  <c r="L51" i="4"/>
  <c r="K51" i="4"/>
  <c r="J51" i="4"/>
  <c r="F51" i="4"/>
  <c r="E51" i="4"/>
  <c r="D51" i="4"/>
  <c r="X51" i="4" s="1"/>
  <c r="L50" i="4"/>
  <c r="K50" i="4"/>
  <c r="J50" i="4"/>
  <c r="F50" i="4"/>
  <c r="E50" i="4"/>
  <c r="D50" i="4"/>
  <c r="X50" i="4" s="1"/>
  <c r="L49" i="4"/>
  <c r="K49" i="4"/>
  <c r="J49" i="4"/>
  <c r="F49" i="4"/>
  <c r="E49" i="4"/>
  <c r="D49" i="4"/>
  <c r="L48" i="4"/>
  <c r="K48" i="4"/>
  <c r="M48" i="4" s="1"/>
  <c r="J48" i="4"/>
  <c r="F48" i="4"/>
  <c r="E48" i="4"/>
  <c r="D48" i="4"/>
  <c r="X48" i="4" s="1"/>
  <c r="L47" i="4"/>
  <c r="K47" i="4"/>
  <c r="J47" i="4"/>
  <c r="F47" i="4"/>
  <c r="E47" i="4"/>
  <c r="D47" i="4"/>
  <c r="L46" i="4"/>
  <c r="K46" i="4"/>
  <c r="M46" i="4" s="1"/>
  <c r="J46" i="4"/>
  <c r="F46" i="4"/>
  <c r="E46" i="4"/>
  <c r="D46" i="4"/>
  <c r="X46" i="4" s="1"/>
  <c r="L45" i="4"/>
  <c r="K45" i="4"/>
  <c r="J45" i="4"/>
  <c r="F45" i="4"/>
  <c r="E45" i="4"/>
  <c r="D45" i="4"/>
  <c r="X45" i="4" s="1"/>
  <c r="L44" i="4"/>
  <c r="K44" i="4"/>
  <c r="M44" i="4" s="1"/>
  <c r="J44" i="4"/>
  <c r="F44" i="4"/>
  <c r="E44" i="4"/>
  <c r="D44" i="4"/>
  <c r="X44" i="4" s="1"/>
  <c r="L43" i="4"/>
  <c r="K43" i="4"/>
  <c r="J43" i="4"/>
  <c r="F43" i="4"/>
  <c r="E43" i="4"/>
  <c r="D43" i="4"/>
  <c r="X43" i="4" s="1"/>
  <c r="L42" i="4"/>
  <c r="K42" i="4"/>
  <c r="J42" i="4"/>
  <c r="F42" i="4"/>
  <c r="E42" i="4"/>
  <c r="D42" i="4"/>
  <c r="X42" i="4" s="1"/>
  <c r="L41" i="4"/>
  <c r="K41" i="4"/>
  <c r="J41" i="4"/>
  <c r="F41" i="4"/>
  <c r="E41" i="4"/>
  <c r="D41" i="4"/>
  <c r="X41" i="4" s="1"/>
  <c r="L40" i="4"/>
  <c r="K40" i="4"/>
  <c r="J40" i="4"/>
  <c r="F40" i="4"/>
  <c r="E40" i="4"/>
  <c r="D40" i="4"/>
  <c r="X40" i="4" s="1"/>
  <c r="L39" i="4"/>
  <c r="K39" i="4"/>
  <c r="J39" i="4"/>
  <c r="F39" i="4"/>
  <c r="E39" i="4"/>
  <c r="D39" i="4"/>
  <c r="X39" i="4" s="1"/>
  <c r="L38" i="4"/>
  <c r="K38" i="4"/>
  <c r="J38" i="4"/>
  <c r="F38" i="4"/>
  <c r="E38" i="4"/>
  <c r="D38" i="4"/>
  <c r="X38" i="4" s="1"/>
  <c r="L37" i="4"/>
  <c r="K37" i="4"/>
  <c r="J37" i="4"/>
  <c r="F37" i="4"/>
  <c r="E37" i="4"/>
  <c r="D37" i="4"/>
  <c r="W37" i="4" s="1"/>
  <c r="L36" i="4"/>
  <c r="K36" i="4"/>
  <c r="J36" i="4"/>
  <c r="F36" i="4"/>
  <c r="E36" i="4"/>
  <c r="D36" i="4"/>
  <c r="V36" i="4" s="1"/>
  <c r="L35" i="4"/>
  <c r="K35" i="4"/>
  <c r="J35" i="4"/>
  <c r="F35" i="4"/>
  <c r="E35" i="4"/>
  <c r="D35" i="4"/>
  <c r="X35" i="4" s="1"/>
  <c r="L34" i="4"/>
  <c r="K34" i="4"/>
  <c r="M34" i="4" s="1"/>
  <c r="J34" i="4"/>
  <c r="F34" i="4"/>
  <c r="E34" i="4"/>
  <c r="D34" i="4"/>
  <c r="X34" i="4" s="1"/>
  <c r="L33" i="4"/>
  <c r="K33" i="4"/>
  <c r="J33" i="4"/>
  <c r="F33" i="4"/>
  <c r="E33" i="4"/>
  <c r="D33" i="4"/>
  <c r="X33" i="4" s="1"/>
  <c r="L32" i="4"/>
  <c r="K32" i="4"/>
  <c r="J32" i="4"/>
  <c r="F32" i="4"/>
  <c r="E32" i="4"/>
  <c r="D32" i="4"/>
  <c r="X32" i="4" s="1"/>
  <c r="L31" i="4"/>
  <c r="K31" i="4"/>
  <c r="J31" i="4"/>
  <c r="F31" i="4"/>
  <c r="E31" i="4"/>
  <c r="D31" i="4"/>
  <c r="X31" i="4" s="1"/>
  <c r="L30" i="4"/>
  <c r="K30" i="4"/>
  <c r="J30" i="4"/>
  <c r="F30" i="4"/>
  <c r="E30" i="4"/>
  <c r="D30" i="4"/>
  <c r="X30" i="4" s="1"/>
  <c r="L29" i="4"/>
  <c r="K29" i="4"/>
  <c r="J29" i="4"/>
  <c r="F29" i="4"/>
  <c r="E29" i="4"/>
  <c r="D29" i="4"/>
  <c r="X29" i="4" s="1"/>
  <c r="L28" i="4"/>
  <c r="K28" i="4"/>
  <c r="J28" i="4"/>
  <c r="F28" i="4"/>
  <c r="E28" i="4"/>
  <c r="D28" i="4"/>
  <c r="X28" i="4" s="1"/>
  <c r="L27" i="4"/>
  <c r="K27" i="4"/>
  <c r="J27" i="4"/>
  <c r="F27" i="4"/>
  <c r="E27" i="4"/>
  <c r="D27" i="4"/>
  <c r="X27" i="4" s="1"/>
  <c r="L26" i="4"/>
  <c r="K26" i="4"/>
  <c r="J26" i="4"/>
  <c r="F26" i="4"/>
  <c r="E26" i="4"/>
  <c r="D26" i="4"/>
  <c r="X26" i="4" s="1"/>
  <c r="L25" i="4"/>
  <c r="K25" i="4"/>
  <c r="J25" i="4"/>
  <c r="F25" i="4"/>
  <c r="E25" i="4"/>
  <c r="D25" i="4"/>
  <c r="X25" i="4" s="1"/>
  <c r="L24" i="4"/>
  <c r="K24" i="4"/>
  <c r="J24" i="4"/>
  <c r="F24" i="4"/>
  <c r="E24" i="4"/>
  <c r="D24" i="4"/>
  <c r="X24" i="4" s="1"/>
  <c r="L23" i="4"/>
  <c r="K23" i="4"/>
  <c r="J23" i="4"/>
  <c r="F23" i="4"/>
  <c r="E23" i="4"/>
  <c r="D23" i="4"/>
  <c r="X23" i="4" s="1"/>
  <c r="L22" i="4"/>
  <c r="K22" i="4"/>
  <c r="J22" i="4"/>
  <c r="F22" i="4"/>
  <c r="E22" i="4"/>
  <c r="D22" i="4"/>
  <c r="X22" i="4" s="1"/>
  <c r="L21" i="4"/>
  <c r="K21" i="4"/>
  <c r="J21" i="4"/>
  <c r="F21" i="4"/>
  <c r="E21" i="4"/>
  <c r="D21" i="4"/>
  <c r="X21" i="4" s="1"/>
  <c r="L20" i="4"/>
  <c r="K20" i="4"/>
  <c r="J20" i="4"/>
  <c r="F20" i="4"/>
  <c r="E20" i="4"/>
  <c r="D20" i="4"/>
  <c r="X20" i="4" s="1"/>
  <c r="L19" i="4"/>
  <c r="K19" i="4"/>
  <c r="J19" i="4"/>
  <c r="F19" i="4"/>
  <c r="E19" i="4"/>
  <c r="D19" i="4"/>
  <c r="X19" i="4" s="1"/>
  <c r="L18" i="4"/>
  <c r="K18" i="4"/>
  <c r="J18" i="4"/>
  <c r="F18" i="4"/>
  <c r="E18" i="4"/>
  <c r="D18" i="4"/>
  <c r="X18" i="4" s="1"/>
  <c r="L17" i="4"/>
  <c r="K17" i="4"/>
  <c r="J17" i="4"/>
  <c r="F17" i="4"/>
  <c r="E17" i="4"/>
  <c r="D17" i="4"/>
  <c r="X17" i="4" s="1"/>
  <c r="L16" i="4"/>
  <c r="K16" i="4"/>
  <c r="J16" i="4"/>
  <c r="F16" i="4"/>
  <c r="E16" i="4"/>
  <c r="D16" i="4"/>
  <c r="X16" i="4" s="1"/>
  <c r="L15" i="4"/>
  <c r="K15" i="4"/>
  <c r="J15" i="4"/>
  <c r="F15" i="4"/>
  <c r="E15" i="4"/>
  <c r="D15" i="4"/>
  <c r="X15" i="4" s="1"/>
  <c r="L14" i="4"/>
  <c r="K14" i="4"/>
  <c r="J14" i="4"/>
  <c r="F14" i="4"/>
  <c r="E14" i="4"/>
  <c r="D14" i="4"/>
  <c r="X14" i="4" s="1"/>
  <c r="L13" i="4"/>
  <c r="K13" i="4"/>
  <c r="J13" i="4"/>
  <c r="F13" i="4"/>
  <c r="E13" i="4"/>
  <c r="D13" i="4"/>
  <c r="X13" i="4" s="1"/>
  <c r="L12" i="4"/>
  <c r="K12" i="4"/>
  <c r="J12" i="4"/>
  <c r="F12" i="4"/>
  <c r="E12" i="4"/>
  <c r="D12" i="4"/>
  <c r="X12" i="4" s="1"/>
  <c r="L11" i="4"/>
  <c r="K11" i="4"/>
  <c r="J11" i="4"/>
  <c r="F11" i="4"/>
  <c r="E11" i="4"/>
  <c r="D11" i="4"/>
  <c r="L10" i="4"/>
  <c r="K10" i="4"/>
  <c r="J10" i="4"/>
  <c r="F10" i="4"/>
  <c r="E10" i="4"/>
  <c r="D10" i="4"/>
  <c r="X10" i="4" s="1"/>
  <c r="L9" i="4"/>
  <c r="K9" i="4"/>
  <c r="J9" i="4"/>
  <c r="F9" i="4"/>
  <c r="E9" i="4"/>
  <c r="D9" i="4"/>
  <c r="X9" i="4" s="1"/>
  <c r="L8" i="4"/>
  <c r="K8" i="4"/>
  <c r="J8" i="4"/>
  <c r="F8" i="4"/>
  <c r="E8" i="4"/>
  <c r="D8" i="4"/>
  <c r="X8" i="4" s="1"/>
  <c r="L7" i="4"/>
  <c r="K7" i="4"/>
  <c r="J7" i="4"/>
  <c r="F7" i="4"/>
  <c r="E7" i="4"/>
  <c r="D7" i="4"/>
  <c r="X7" i="4" s="1"/>
  <c r="L6" i="4"/>
  <c r="K6" i="4"/>
  <c r="J6" i="4"/>
  <c r="F6" i="4"/>
  <c r="E6" i="4"/>
  <c r="D6" i="4"/>
  <c r="X6" i="4" s="1"/>
  <c r="L5" i="4"/>
  <c r="K5" i="4"/>
  <c r="J5" i="4"/>
  <c r="F5" i="4"/>
  <c r="E5" i="4"/>
  <c r="D5" i="4"/>
  <c r="X5" i="4" s="1"/>
  <c r="L4" i="4"/>
  <c r="K4" i="4"/>
  <c r="J4" i="4"/>
  <c r="F4" i="4"/>
  <c r="E4" i="4"/>
  <c r="D4" i="4"/>
  <c r="X4" i="4" s="1"/>
  <c r="L3" i="4"/>
  <c r="K3" i="4"/>
  <c r="J3" i="4"/>
  <c r="F3" i="4"/>
  <c r="E3" i="4"/>
  <c r="D3" i="4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4" i="3"/>
  <c r="E4" i="3"/>
  <c r="E3" i="3"/>
  <c r="C3" i="3"/>
  <c r="J245" i="3"/>
  <c r="J244" i="3"/>
  <c r="J240" i="3"/>
  <c r="J239" i="3"/>
  <c r="J236" i="3"/>
  <c r="J226" i="3"/>
  <c r="J218" i="3"/>
  <c r="J217" i="3"/>
  <c r="J208" i="3"/>
  <c r="J194" i="3"/>
  <c r="J185" i="3"/>
  <c r="J184" i="3"/>
  <c r="J180" i="3"/>
  <c r="J176" i="3"/>
  <c r="J175" i="3"/>
  <c r="J171" i="3"/>
  <c r="J155" i="3"/>
  <c r="J148" i="3"/>
  <c r="J147" i="3"/>
  <c r="J138" i="3"/>
  <c r="J135" i="3"/>
  <c r="J133" i="3"/>
  <c r="J132" i="3"/>
  <c r="J128" i="3"/>
  <c r="J127" i="3"/>
  <c r="J119" i="3"/>
  <c r="J113" i="3"/>
  <c r="J110" i="3"/>
  <c r="J98" i="3"/>
  <c r="J97" i="3"/>
  <c r="J96" i="3"/>
  <c r="J94" i="3"/>
  <c r="J90" i="3"/>
  <c r="J87" i="3"/>
  <c r="J85" i="3"/>
  <c r="J73" i="3"/>
  <c r="J68" i="3"/>
  <c r="J64" i="3"/>
  <c r="J53" i="3"/>
  <c r="J51" i="3"/>
  <c r="J49" i="3"/>
  <c r="J46" i="3"/>
  <c r="J40" i="3"/>
  <c r="J38" i="3"/>
  <c r="J35" i="3"/>
  <c r="J31" i="3"/>
  <c r="J29" i="3"/>
  <c r="J28" i="3"/>
  <c r="J26" i="3"/>
  <c r="J22" i="3"/>
  <c r="J21" i="3"/>
  <c r="J19" i="3"/>
  <c r="J17" i="3"/>
  <c r="J16" i="3"/>
  <c r="J15" i="3"/>
  <c r="J14" i="3"/>
  <c r="J13" i="3"/>
  <c r="J12" i="3"/>
  <c r="J11" i="3"/>
  <c r="J10" i="3"/>
  <c r="J9" i="3"/>
  <c r="J6" i="3"/>
  <c r="J5" i="3"/>
  <c r="J4" i="3"/>
  <c r="F3" i="3"/>
  <c r="V11" i="4" l="1"/>
  <c r="X11" i="4"/>
  <c r="U221" i="4"/>
  <c r="U150" i="4"/>
  <c r="V235" i="4"/>
  <c r="V27" i="4"/>
  <c r="U132" i="4"/>
  <c r="U205" i="4"/>
  <c r="U101" i="4"/>
  <c r="V19" i="4"/>
  <c r="V21" i="4"/>
  <c r="M31" i="4"/>
  <c r="M87" i="4"/>
  <c r="M93" i="4"/>
  <c r="M111" i="4"/>
  <c r="U182" i="4"/>
  <c r="U97" i="4"/>
  <c r="V189" i="4"/>
  <c r="V5" i="4"/>
  <c r="W166" i="4"/>
  <c r="G8" i="4"/>
  <c r="G12" i="4"/>
  <c r="G20" i="4"/>
  <c r="G24" i="4"/>
  <c r="G80" i="4"/>
  <c r="G82" i="4"/>
  <c r="G86" i="4"/>
  <c r="G88" i="4"/>
  <c r="G100" i="4"/>
  <c r="G118" i="4"/>
  <c r="G192" i="4"/>
  <c r="G194" i="4"/>
  <c r="G196" i="4"/>
  <c r="G218" i="4"/>
  <c r="G224" i="4"/>
  <c r="G230" i="4"/>
  <c r="G232" i="4"/>
  <c r="G246" i="4"/>
  <c r="U17" i="4"/>
  <c r="V161" i="4"/>
  <c r="W71" i="4"/>
  <c r="U176" i="4"/>
  <c r="U29" i="4"/>
  <c r="U173" i="4"/>
  <c r="U16" i="4"/>
  <c r="V129" i="4"/>
  <c r="W13" i="4"/>
  <c r="U220" i="4"/>
  <c r="W219" i="4"/>
  <c r="X219" i="4"/>
  <c r="V225" i="4"/>
  <c r="X225" i="4"/>
  <c r="V239" i="4"/>
  <c r="X239" i="4"/>
  <c r="U245" i="4"/>
  <c r="W218" i="4"/>
  <c r="U241" i="4"/>
  <c r="U226" i="4"/>
  <c r="U224" i="4"/>
  <c r="V243" i="4"/>
  <c r="U239" i="4"/>
  <c r="U222" i="4"/>
  <c r="V237" i="4"/>
  <c r="W214" i="4"/>
  <c r="U203" i="4"/>
  <c r="W210" i="4"/>
  <c r="U187" i="4"/>
  <c r="X187" i="4"/>
  <c r="W193" i="4"/>
  <c r="X193" i="4"/>
  <c r="W207" i="4"/>
  <c r="X207" i="4"/>
  <c r="W209" i="4"/>
  <c r="X209" i="4"/>
  <c r="U193" i="4"/>
  <c r="V211" i="4"/>
  <c r="W205" i="4"/>
  <c r="U191" i="4"/>
  <c r="V209" i="4"/>
  <c r="V208" i="4"/>
  <c r="V207" i="4"/>
  <c r="U210" i="4"/>
  <c r="X210" i="4"/>
  <c r="V205" i="4"/>
  <c r="W158" i="4"/>
  <c r="W157" i="4"/>
  <c r="V181" i="4"/>
  <c r="W174" i="4"/>
  <c r="X174" i="4"/>
  <c r="W162" i="4"/>
  <c r="W159" i="4"/>
  <c r="X159" i="4"/>
  <c r="V167" i="4"/>
  <c r="X167" i="4"/>
  <c r="U177" i="4"/>
  <c r="X177" i="4"/>
  <c r="V174" i="4"/>
  <c r="U133" i="4"/>
  <c r="W151" i="4"/>
  <c r="U127" i="4"/>
  <c r="X127" i="4"/>
  <c r="U149" i="4"/>
  <c r="U135" i="4"/>
  <c r="W127" i="4"/>
  <c r="V125" i="4"/>
  <c r="X125" i="4"/>
  <c r="V148" i="4"/>
  <c r="V141" i="4"/>
  <c r="V139" i="4"/>
  <c r="U105" i="4"/>
  <c r="X105" i="4"/>
  <c r="U119" i="4"/>
  <c r="X119" i="4"/>
  <c r="V121" i="4"/>
  <c r="X121" i="4"/>
  <c r="W105" i="4"/>
  <c r="V111" i="4"/>
  <c r="W103" i="4"/>
  <c r="N109" i="4"/>
  <c r="N111" i="4"/>
  <c r="U123" i="4"/>
  <c r="V110" i="4"/>
  <c r="W96" i="4"/>
  <c r="V104" i="4"/>
  <c r="X104" i="4"/>
  <c r="U121" i="4"/>
  <c r="V109" i="4"/>
  <c r="U107" i="4"/>
  <c r="V105" i="4"/>
  <c r="U106" i="4"/>
  <c r="V99" i="4"/>
  <c r="U104" i="4"/>
  <c r="V73" i="4"/>
  <c r="X73" i="4"/>
  <c r="U79" i="4"/>
  <c r="X79" i="4"/>
  <c r="W89" i="4"/>
  <c r="X89" i="4"/>
  <c r="U87" i="4"/>
  <c r="U83" i="4"/>
  <c r="N85" i="4"/>
  <c r="U73" i="4"/>
  <c r="V89" i="4"/>
  <c r="U65" i="4"/>
  <c r="V77" i="4"/>
  <c r="W79" i="4"/>
  <c r="U64" i="4"/>
  <c r="V76" i="4"/>
  <c r="W73" i="4"/>
  <c r="U63" i="4"/>
  <c r="V75" i="4"/>
  <c r="U49" i="4"/>
  <c r="X49" i="4"/>
  <c r="W53" i="4"/>
  <c r="X53" i="4"/>
  <c r="U61" i="4"/>
  <c r="X61" i="4"/>
  <c r="U37" i="4"/>
  <c r="U35" i="4"/>
  <c r="U62" i="4"/>
  <c r="W55" i="4"/>
  <c r="U54" i="4"/>
  <c r="W33" i="4"/>
  <c r="U53" i="4"/>
  <c r="U51" i="4"/>
  <c r="V37" i="4"/>
  <c r="X37" i="4"/>
  <c r="W47" i="4"/>
  <c r="X47" i="4"/>
  <c r="V61" i="4"/>
  <c r="V59" i="4"/>
  <c r="V53" i="4"/>
  <c r="W36" i="4"/>
  <c r="X36" i="4"/>
  <c r="U46" i="4"/>
  <c r="W4" i="4"/>
  <c r="V4" i="4"/>
  <c r="U4" i="4"/>
  <c r="W6" i="4"/>
  <c r="V6" i="4"/>
  <c r="U6" i="4"/>
  <c r="V8" i="4"/>
  <c r="U8" i="4"/>
  <c r="W8" i="4"/>
  <c r="V10" i="4"/>
  <c r="W10" i="4"/>
  <c r="U10" i="4"/>
  <c r="U12" i="4"/>
  <c r="V12" i="4"/>
  <c r="W12" i="4"/>
  <c r="V14" i="4"/>
  <c r="W14" i="4"/>
  <c r="W16" i="4"/>
  <c r="V16" i="4"/>
  <c r="V18" i="4"/>
  <c r="U18" i="4"/>
  <c r="W18" i="4"/>
  <c r="V20" i="4"/>
  <c r="W20" i="4"/>
  <c r="U20" i="4"/>
  <c r="V22" i="4"/>
  <c r="U22" i="4"/>
  <c r="W22" i="4"/>
  <c r="W24" i="4"/>
  <c r="U24" i="4"/>
  <c r="V24" i="4"/>
  <c r="U26" i="4"/>
  <c r="V26" i="4"/>
  <c r="W28" i="4"/>
  <c r="V28" i="4"/>
  <c r="U28" i="4"/>
  <c r="V30" i="4"/>
  <c r="W30" i="4"/>
  <c r="U30" i="4"/>
  <c r="V32" i="4"/>
  <c r="W32" i="4"/>
  <c r="U32" i="4"/>
  <c r="W34" i="4"/>
  <c r="V34" i="4"/>
  <c r="U34" i="4"/>
  <c r="W38" i="4"/>
  <c r="V38" i="4"/>
  <c r="W40" i="4"/>
  <c r="U40" i="4"/>
  <c r="V42" i="4"/>
  <c r="W42" i="4"/>
  <c r="U42" i="4"/>
  <c r="V44" i="4"/>
  <c r="W44" i="4"/>
  <c r="U44" i="4"/>
  <c r="W46" i="4"/>
  <c r="V46" i="4"/>
  <c r="W48" i="4"/>
  <c r="V48" i="4"/>
  <c r="U48" i="4"/>
  <c r="W50" i="4"/>
  <c r="V50" i="4"/>
  <c r="U50" i="4"/>
  <c r="N52" i="4"/>
  <c r="W52" i="4"/>
  <c r="V52" i="4"/>
  <c r="U52" i="4"/>
  <c r="W54" i="4"/>
  <c r="V54" i="4"/>
  <c r="V56" i="4"/>
  <c r="U56" i="4"/>
  <c r="W56" i="4"/>
  <c r="W58" i="4"/>
  <c r="U58" i="4"/>
  <c r="V58" i="4"/>
  <c r="U60" i="4"/>
  <c r="W60" i="4"/>
  <c r="V60" i="4"/>
  <c r="W62" i="4"/>
  <c r="V62" i="4"/>
  <c r="W64" i="4"/>
  <c r="V64" i="4"/>
  <c r="W66" i="4"/>
  <c r="V66" i="4"/>
  <c r="U66" i="4"/>
  <c r="V68" i="4"/>
  <c r="W68" i="4"/>
  <c r="U68" i="4"/>
  <c r="W70" i="4"/>
  <c r="V70" i="4"/>
  <c r="U70" i="4"/>
  <c r="V72" i="4"/>
  <c r="U72" i="4"/>
  <c r="W72" i="4"/>
  <c r="W74" i="4"/>
  <c r="U74" i="4"/>
  <c r="W76" i="4"/>
  <c r="U76" i="4"/>
  <c r="N78" i="4"/>
  <c r="W78" i="4"/>
  <c r="V78" i="4"/>
  <c r="U78" i="4"/>
  <c r="V80" i="4"/>
  <c r="U80" i="4"/>
  <c r="W80" i="4"/>
  <c r="W82" i="4"/>
  <c r="V82" i="4"/>
  <c r="W84" i="4"/>
  <c r="V84" i="4"/>
  <c r="W86" i="4"/>
  <c r="V86" i="4"/>
  <c r="U86" i="4"/>
  <c r="W88" i="4"/>
  <c r="V88" i="4"/>
  <c r="W90" i="4"/>
  <c r="V90" i="4"/>
  <c r="U90" i="4"/>
  <c r="V92" i="4"/>
  <c r="W92" i="4"/>
  <c r="U92" i="4"/>
  <c r="V94" i="4"/>
  <c r="W94" i="4"/>
  <c r="U94" i="4"/>
  <c r="V96" i="4"/>
  <c r="U96" i="4"/>
  <c r="W98" i="4"/>
  <c r="V98" i="4"/>
  <c r="U98" i="4"/>
  <c r="W100" i="4"/>
  <c r="U100" i="4"/>
  <c r="V100" i="4"/>
  <c r="W102" i="4"/>
  <c r="V102" i="4"/>
  <c r="U102" i="4"/>
  <c r="V106" i="4"/>
  <c r="W106" i="4"/>
  <c r="W108" i="4"/>
  <c r="V108" i="4"/>
  <c r="N110" i="4"/>
  <c r="W110" i="4"/>
  <c r="U110" i="4"/>
  <c r="W112" i="4"/>
  <c r="V112" i="4"/>
  <c r="W114" i="4"/>
  <c r="U114" i="4"/>
  <c r="V114" i="4"/>
  <c r="W116" i="4"/>
  <c r="V116" i="4"/>
  <c r="U116" i="4"/>
  <c r="V118" i="4"/>
  <c r="W118" i="4"/>
  <c r="U118" i="4"/>
  <c r="V120" i="4"/>
  <c r="W120" i="4"/>
  <c r="U120" i="4"/>
  <c r="V122" i="4"/>
  <c r="W122" i="4"/>
  <c r="U122" i="4"/>
  <c r="W124" i="4"/>
  <c r="V124" i="4"/>
  <c r="U126" i="4"/>
  <c r="W126" i="4"/>
  <c r="V126" i="4"/>
  <c r="W128" i="4"/>
  <c r="U128" i="4"/>
  <c r="V128" i="4"/>
  <c r="W130" i="4"/>
  <c r="V130" i="4"/>
  <c r="U130" i="4"/>
  <c r="W132" i="4"/>
  <c r="V132" i="4"/>
  <c r="V134" i="4"/>
  <c r="W134" i="4"/>
  <c r="W136" i="4"/>
  <c r="V136" i="4"/>
  <c r="U136" i="4"/>
  <c r="W138" i="4"/>
  <c r="V138" i="4"/>
  <c r="U138" i="4"/>
  <c r="U140" i="4"/>
  <c r="W140" i="4"/>
  <c r="V142" i="4"/>
  <c r="W142" i="4"/>
  <c r="U142" i="4"/>
  <c r="V144" i="4"/>
  <c r="U144" i="4"/>
  <c r="W144" i="4"/>
  <c r="W146" i="4"/>
  <c r="V146" i="4"/>
  <c r="U146" i="4"/>
  <c r="W148" i="4"/>
  <c r="U148" i="4"/>
  <c r="W150" i="4"/>
  <c r="V150" i="4"/>
  <c r="W152" i="4"/>
  <c r="V152" i="4"/>
  <c r="V154" i="4"/>
  <c r="W154" i="4"/>
  <c r="V156" i="4"/>
  <c r="W156" i="4"/>
  <c r="V158" i="4"/>
  <c r="U158" i="4"/>
  <c r="W160" i="4"/>
  <c r="U160" i="4"/>
  <c r="V160" i="4"/>
  <c r="U162" i="4"/>
  <c r="V162" i="4"/>
  <c r="W164" i="4"/>
  <c r="V164" i="4"/>
  <c r="U164" i="4"/>
  <c r="V166" i="4"/>
  <c r="U166" i="4"/>
  <c r="V168" i="4"/>
  <c r="W168" i="4"/>
  <c r="U168" i="4"/>
  <c r="W170" i="4"/>
  <c r="U170" i="4"/>
  <c r="V170" i="4"/>
  <c r="W172" i="4"/>
  <c r="U172" i="4"/>
  <c r="V172" i="4"/>
  <c r="W176" i="4"/>
  <c r="V176" i="4"/>
  <c r="W178" i="4"/>
  <c r="V178" i="4"/>
  <c r="W180" i="4"/>
  <c r="V180" i="4"/>
  <c r="U180" i="4"/>
  <c r="V182" i="4"/>
  <c r="W182" i="4"/>
  <c r="W184" i="4"/>
  <c r="V184" i="4"/>
  <c r="U184" i="4"/>
  <c r="U186" i="4"/>
  <c r="W186" i="4"/>
  <c r="V186" i="4"/>
  <c r="W188" i="4"/>
  <c r="V188" i="4"/>
  <c r="U188" i="4"/>
  <c r="V190" i="4"/>
  <c r="W190" i="4"/>
  <c r="U190" i="4"/>
  <c r="W192" i="4"/>
  <c r="V192" i="4"/>
  <c r="U192" i="4"/>
  <c r="W194" i="4"/>
  <c r="V194" i="4"/>
  <c r="W196" i="4"/>
  <c r="V196" i="4"/>
  <c r="U196" i="4"/>
  <c r="W198" i="4"/>
  <c r="V198" i="4"/>
  <c r="U200" i="4"/>
  <c r="V200" i="4"/>
  <c r="W200" i="4"/>
  <c r="V202" i="4"/>
  <c r="W202" i="4"/>
  <c r="U202" i="4"/>
  <c r="V204" i="4"/>
  <c r="W204" i="4"/>
  <c r="U206" i="4"/>
  <c r="W206" i="4"/>
  <c r="V206" i="4"/>
  <c r="W208" i="4"/>
  <c r="U208" i="4"/>
  <c r="W212" i="4"/>
  <c r="V212" i="4"/>
  <c r="U212" i="4"/>
  <c r="V214" i="4"/>
  <c r="U214" i="4"/>
  <c r="W216" i="4"/>
  <c r="V216" i="4"/>
  <c r="U216" i="4"/>
  <c r="V218" i="4"/>
  <c r="U218" i="4"/>
  <c r="W220" i="4"/>
  <c r="V220" i="4"/>
  <c r="W222" i="4"/>
  <c r="V222" i="4"/>
  <c r="W224" i="4"/>
  <c r="V224" i="4"/>
  <c r="W226" i="4"/>
  <c r="V226" i="4"/>
  <c r="W228" i="4"/>
  <c r="V228" i="4"/>
  <c r="U228" i="4"/>
  <c r="V230" i="4"/>
  <c r="W230" i="4"/>
  <c r="U230" i="4"/>
  <c r="W232" i="4"/>
  <c r="V232" i="4"/>
  <c r="U232" i="4"/>
  <c r="W234" i="4"/>
  <c r="V234" i="4"/>
  <c r="U234" i="4"/>
  <c r="W236" i="4"/>
  <c r="U236" i="4"/>
  <c r="V236" i="4"/>
  <c r="V238" i="4"/>
  <c r="W238" i="4"/>
  <c r="U238" i="4"/>
  <c r="N240" i="4"/>
  <c r="V240" i="4"/>
  <c r="W240" i="4"/>
  <c r="U240" i="4"/>
  <c r="W242" i="4"/>
  <c r="V242" i="4"/>
  <c r="W244" i="4"/>
  <c r="U244" i="4"/>
  <c r="W246" i="4"/>
  <c r="V246" i="4"/>
  <c r="U246" i="4"/>
  <c r="U124" i="4"/>
  <c r="U84" i="4"/>
  <c r="U38" i="4"/>
  <c r="V140" i="4"/>
  <c r="U204" i="4"/>
  <c r="V74" i="4"/>
  <c r="W26" i="4"/>
  <c r="U242" i="4"/>
  <c r="U156" i="4"/>
  <c r="U82" i="4"/>
  <c r="U36" i="4"/>
  <c r="V244" i="4"/>
  <c r="U198" i="4"/>
  <c r="U112" i="4"/>
  <c r="U194" i="4"/>
  <c r="U154" i="4"/>
  <c r="U108" i="4"/>
  <c r="W104" i="4"/>
  <c r="V159" i="4"/>
  <c r="W187" i="4"/>
  <c r="W61" i="4"/>
  <c r="W11" i="4"/>
  <c r="W5" i="4"/>
  <c r="U5" i="4"/>
  <c r="W7" i="4"/>
  <c r="U7" i="4"/>
  <c r="U9" i="4"/>
  <c r="W9" i="4"/>
  <c r="V9" i="4"/>
  <c r="V13" i="4"/>
  <c r="U13" i="4"/>
  <c r="W15" i="4"/>
  <c r="V15" i="4"/>
  <c r="W17" i="4"/>
  <c r="V17" i="4"/>
  <c r="W19" i="4"/>
  <c r="U19" i="4"/>
  <c r="W21" i="4"/>
  <c r="U21" i="4"/>
  <c r="W23" i="4"/>
  <c r="V23" i="4"/>
  <c r="U23" i="4"/>
  <c r="W25" i="4"/>
  <c r="U25" i="4"/>
  <c r="W27" i="4"/>
  <c r="U27" i="4"/>
  <c r="W29" i="4"/>
  <c r="V29" i="4"/>
  <c r="U31" i="4"/>
  <c r="W31" i="4"/>
  <c r="V33" i="4"/>
  <c r="U33" i="4"/>
  <c r="W35" i="4"/>
  <c r="V35" i="4"/>
  <c r="W39" i="4"/>
  <c r="U39" i="4"/>
  <c r="V39" i="4"/>
  <c r="W41" i="4"/>
  <c r="V41" i="4"/>
  <c r="U41" i="4"/>
  <c r="V43" i="4"/>
  <c r="U43" i="4"/>
  <c r="W43" i="4"/>
  <c r="W45" i="4"/>
  <c r="U45" i="4"/>
  <c r="V45" i="4"/>
  <c r="W49" i="4"/>
  <c r="V49" i="4"/>
  <c r="W51" i="4"/>
  <c r="V51" i="4"/>
  <c r="V55" i="4"/>
  <c r="U55" i="4"/>
  <c r="V57" i="4"/>
  <c r="W57" i="4"/>
  <c r="U57" i="4"/>
  <c r="W59" i="4"/>
  <c r="U59" i="4"/>
  <c r="W63" i="4"/>
  <c r="V63" i="4"/>
  <c r="W65" i="4"/>
  <c r="V65" i="4"/>
  <c r="W67" i="4"/>
  <c r="V67" i="4"/>
  <c r="U67" i="4"/>
  <c r="W69" i="4"/>
  <c r="V69" i="4"/>
  <c r="U69" i="4"/>
  <c r="V71" i="4"/>
  <c r="U71" i="4"/>
  <c r="W75" i="4"/>
  <c r="U75" i="4"/>
  <c r="W77" i="4"/>
  <c r="U77" i="4"/>
  <c r="V81" i="4"/>
  <c r="W81" i="4"/>
  <c r="U81" i="4"/>
  <c r="W83" i="4"/>
  <c r="V83" i="4"/>
  <c r="V85" i="4"/>
  <c r="W85" i="4"/>
  <c r="U85" i="4"/>
  <c r="W87" i="4"/>
  <c r="V87" i="4"/>
  <c r="W91" i="4"/>
  <c r="U91" i="4"/>
  <c r="V91" i="4"/>
  <c r="U93" i="4"/>
  <c r="W93" i="4"/>
  <c r="V93" i="4"/>
  <c r="V95" i="4"/>
  <c r="W95" i="4"/>
  <c r="U95" i="4"/>
  <c r="W97" i="4"/>
  <c r="V97" i="4"/>
  <c r="W99" i="4"/>
  <c r="U99" i="4"/>
  <c r="W101" i="4"/>
  <c r="V101" i="4"/>
  <c r="U103" i="4"/>
  <c r="V103" i="4"/>
  <c r="W107" i="4"/>
  <c r="V107" i="4"/>
  <c r="W109" i="4"/>
  <c r="U109" i="4"/>
  <c r="W111" i="4"/>
  <c r="U111" i="4"/>
  <c r="W113" i="4"/>
  <c r="U113" i="4"/>
  <c r="V113" i="4"/>
  <c r="W115" i="4"/>
  <c r="U115" i="4"/>
  <c r="W117" i="4"/>
  <c r="V117" i="4"/>
  <c r="U117" i="4"/>
  <c r="V119" i="4"/>
  <c r="W119" i="4"/>
  <c r="W123" i="4"/>
  <c r="V123" i="4"/>
  <c r="W125" i="4"/>
  <c r="U125" i="4"/>
  <c r="W129" i="4"/>
  <c r="U129" i="4"/>
  <c r="W131" i="4"/>
  <c r="V131" i="4"/>
  <c r="U131" i="4"/>
  <c r="W133" i="4"/>
  <c r="V133" i="4"/>
  <c r="W135" i="4"/>
  <c r="V135" i="4"/>
  <c r="W137" i="4"/>
  <c r="V137" i="4"/>
  <c r="U139" i="4"/>
  <c r="W139" i="4"/>
  <c r="W141" i="4"/>
  <c r="U141" i="4"/>
  <c r="V143" i="4"/>
  <c r="W143" i="4"/>
  <c r="U143" i="4"/>
  <c r="W145" i="4"/>
  <c r="V145" i="4"/>
  <c r="U145" i="4"/>
  <c r="W147" i="4"/>
  <c r="V147" i="4"/>
  <c r="U147" i="4"/>
  <c r="W149" i="4"/>
  <c r="V149" i="4"/>
  <c r="U151" i="4"/>
  <c r="V151" i="4"/>
  <c r="W153" i="4"/>
  <c r="U153" i="4"/>
  <c r="V155" i="4"/>
  <c r="W155" i="4"/>
  <c r="V157" i="4"/>
  <c r="U157" i="4"/>
  <c r="W161" i="4"/>
  <c r="U161" i="4"/>
  <c r="W163" i="4"/>
  <c r="U163" i="4"/>
  <c r="W165" i="4"/>
  <c r="V165" i="4"/>
  <c r="U165" i="4"/>
  <c r="W169" i="4"/>
  <c r="V169" i="4"/>
  <c r="W171" i="4"/>
  <c r="U171" i="4"/>
  <c r="V171" i="4"/>
  <c r="W173" i="4"/>
  <c r="V173" i="4"/>
  <c r="W175" i="4"/>
  <c r="U175" i="4"/>
  <c r="V175" i="4"/>
  <c r="W179" i="4"/>
  <c r="V179" i="4"/>
  <c r="U179" i="4"/>
  <c r="W181" i="4"/>
  <c r="U181" i="4"/>
  <c r="W183" i="4"/>
  <c r="V183" i="4"/>
  <c r="W185" i="4"/>
  <c r="U185" i="4"/>
  <c r="U189" i="4"/>
  <c r="W189" i="4"/>
  <c r="W191" i="4"/>
  <c r="V191" i="4"/>
  <c r="W195" i="4"/>
  <c r="U195" i="4"/>
  <c r="V195" i="4"/>
  <c r="W197" i="4"/>
  <c r="V197" i="4"/>
  <c r="U197" i="4"/>
  <c r="W199" i="4"/>
  <c r="U199" i="4"/>
  <c r="V199" i="4"/>
  <c r="W201" i="4"/>
  <c r="U201" i="4"/>
  <c r="V201" i="4"/>
  <c r="V203" i="4"/>
  <c r="W203" i="4"/>
  <c r="W211" i="4"/>
  <c r="U211" i="4"/>
  <c r="W213" i="4"/>
  <c r="V213" i="4"/>
  <c r="U213" i="4"/>
  <c r="W215" i="4"/>
  <c r="V215" i="4"/>
  <c r="U215" i="4"/>
  <c r="W217" i="4"/>
  <c r="V217" i="4"/>
  <c r="U217" i="4"/>
  <c r="W221" i="4"/>
  <c r="V221" i="4"/>
  <c r="U223" i="4"/>
  <c r="W223" i="4"/>
  <c r="V223" i="4"/>
  <c r="W225" i="4"/>
  <c r="U225" i="4"/>
  <c r="W227" i="4"/>
  <c r="V227" i="4"/>
  <c r="W229" i="4"/>
  <c r="U229" i="4"/>
  <c r="W231" i="4"/>
  <c r="V231" i="4"/>
  <c r="U231" i="4"/>
  <c r="W233" i="4"/>
  <c r="U233" i="4"/>
  <c r="U235" i="4"/>
  <c r="W235" i="4"/>
  <c r="W237" i="4"/>
  <c r="U237" i="4"/>
  <c r="W241" i="4"/>
  <c r="V241" i="4"/>
  <c r="W243" i="4"/>
  <c r="U243" i="4"/>
  <c r="W245" i="4"/>
  <c r="V245" i="4"/>
  <c r="U207" i="4"/>
  <c r="U137" i="4"/>
  <c r="V219" i="4"/>
  <c r="V187" i="4"/>
  <c r="V153" i="4"/>
  <c r="V115" i="4"/>
  <c r="V79" i="4"/>
  <c r="V7" i="4"/>
  <c r="W177" i="4"/>
  <c r="W121" i="4"/>
  <c r="N146" i="4"/>
  <c r="G15" i="4"/>
  <c r="G43" i="4"/>
  <c r="G47" i="4"/>
  <c r="G49" i="4"/>
  <c r="G105" i="4"/>
  <c r="G117" i="4"/>
  <c r="G137" i="4"/>
  <c r="G141" i="4"/>
  <c r="G147" i="4"/>
  <c r="G191" i="4"/>
  <c r="G201" i="4"/>
  <c r="G207" i="4"/>
  <c r="G213" i="4"/>
  <c r="G217" i="4"/>
  <c r="G225" i="4"/>
  <c r="G233" i="4"/>
  <c r="U227" i="4"/>
  <c r="U183" i="4"/>
  <c r="U159" i="4"/>
  <c r="U89" i="4"/>
  <c r="U47" i="4"/>
  <c r="V47" i="4"/>
  <c r="W167" i="4"/>
  <c r="M223" i="4"/>
  <c r="G176" i="4"/>
  <c r="G180" i="4"/>
  <c r="G182" i="4"/>
  <c r="N74" i="4"/>
  <c r="G98" i="4"/>
  <c r="N137" i="4"/>
  <c r="G42" i="4"/>
  <c r="N40" i="4"/>
  <c r="G62" i="4"/>
  <c r="N208" i="4"/>
  <c r="G220" i="4"/>
  <c r="M74" i="4"/>
  <c r="N104" i="4"/>
  <c r="G169" i="4"/>
  <c r="G171" i="4"/>
  <c r="G173" i="4"/>
  <c r="M246" i="4"/>
  <c r="M23" i="4"/>
  <c r="G65" i="4"/>
  <c r="G67" i="4"/>
  <c r="M82" i="4"/>
  <c r="M33" i="4"/>
  <c r="M153" i="4"/>
  <c r="M169" i="4"/>
  <c r="G83" i="4"/>
  <c r="G101" i="4"/>
  <c r="G103" i="4"/>
  <c r="M118" i="4"/>
  <c r="M201" i="4"/>
  <c r="M205" i="4"/>
  <c r="M217" i="4"/>
  <c r="N118" i="4"/>
  <c r="N246" i="4"/>
  <c r="N13" i="4"/>
  <c r="N160" i="4"/>
  <c r="N176" i="4"/>
  <c r="M101" i="4"/>
  <c r="M103" i="4"/>
  <c r="N222" i="4"/>
  <c r="N66" i="4"/>
  <c r="M4" i="4"/>
  <c r="M28" i="4"/>
  <c r="M183" i="4"/>
  <c r="G244" i="4"/>
  <c r="N217" i="4"/>
  <c r="N75" i="4"/>
  <c r="M193" i="4"/>
  <c r="G74" i="4"/>
  <c r="M79" i="4"/>
  <c r="G116" i="4"/>
  <c r="M228" i="4"/>
  <c r="N182" i="4"/>
  <c r="N213" i="4"/>
  <c r="N57" i="4"/>
  <c r="M224" i="4"/>
  <c r="M7" i="4"/>
  <c r="N151" i="4"/>
  <c r="N45" i="4"/>
  <c r="N99" i="4"/>
  <c r="G124" i="4"/>
  <c r="N22" i="4"/>
  <c r="N26" i="4"/>
  <c r="G63" i="4"/>
  <c r="N122" i="4"/>
  <c r="G130" i="4"/>
  <c r="G136" i="4"/>
  <c r="G159" i="4"/>
  <c r="G229" i="4"/>
  <c r="N65" i="4"/>
  <c r="N115" i="4"/>
  <c r="N130" i="4"/>
  <c r="N140" i="4"/>
  <c r="N202" i="4"/>
  <c r="G30" i="4"/>
  <c r="G32" i="4"/>
  <c r="M53" i="4"/>
  <c r="M55" i="4"/>
  <c r="M57" i="4"/>
  <c r="M76" i="4"/>
  <c r="G94" i="4"/>
  <c r="G113" i="4"/>
  <c r="G115" i="4"/>
  <c r="M130" i="4"/>
  <c r="G144" i="4"/>
  <c r="M40" i="4"/>
  <c r="N46" i="4"/>
  <c r="G52" i="4"/>
  <c r="G64" i="4"/>
  <c r="G79" i="4"/>
  <c r="N102" i="4"/>
  <c r="M113" i="4"/>
  <c r="G125" i="4"/>
  <c r="G127" i="4"/>
  <c r="G133" i="4"/>
  <c r="M140" i="4"/>
  <c r="G177" i="4"/>
  <c r="G179" i="4"/>
  <c r="G181" i="4"/>
  <c r="M198" i="4"/>
  <c r="M202" i="4"/>
  <c r="M204" i="4"/>
  <c r="M227" i="4"/>
  <c r="M229" i="4"/>
  <c r="G35" i="4"/>
  <c r="G37" i="4"/>
  <c r="M75" i="4"/>
  <c r="N79" i="4"/>
  <c r="G93" i="4"/>
  <c r="G95" i="4"/>
  <c r="N100" i="4"/>
  <c r="G110" i="4"/>
  <c r="N135" i="4"/>
  <c r="G158" i="4"/>
  <c r="N181" i="4"/>
  <c r="M30" i="4"/>
  <c r="M22" i="4"/>
  <c r="G3" i="4"/>
  <c r="G5" i="4"/>
  <c r="G11" i="4"/>
  <c r="G17" i="4"/>
  <c r="G19" i="4"/>
  <c r="G31" i="4"/>
  <c r="N3" i="4"/>
  <c r="M18" i="4"/>
  <c r="G6" i="4"/>
  <c r="M68" i="4"/>
  <c r="G234" i="4"/>
  <c r="G195" i="4"/>
  <c r="N58" i="4"/>
  <c r="M63" i="4"/>
  <c r="N33" i="4"/>
  <c r="N41" i="4"/>
  <c r="M236" i="4"/>
  <c r="M238" i="4"/>
  <c r="N101" i="4"/>
  <c r="N184" i="4"/>
  <c r="N235" i="4"/>
  <c r="N31" i="4"/>
  <c r="N50" i="4"/>
  <c r="N56" i="4"/>
  <c r="N203" i="4"/>
  <c r="G26" i="4"/>
  <c r="M37" i="4"/>
  <c r="M104" i="4"/>
  <c r="M121" i="4"/>
  <c r="M163" i="4"/>
  <c r="G231" i="4"/>
  <c r="G235" i="4"/>
  <c r="N9" i="4"/>
  <c r="N86" i="4"/>
  <c r="N166" i="4"/>
  <c r="N215" i="4"/>
  <c r="G46" i="4"/>
  <c r="N171" i="4"/>
  <c r="M9" i="4"/>
  <c r="G57" i="4"/>
  <c r="N64" i="4"/>
  <c r="M66" i="4"/>
  <c r="G72" i="4"/>
  <c r="G81" i="4"/>
  <c r="N136" i="4"/>
  <c r="G143" i="4"/>
  <c r="G145" i="4"/>
  <c r="G183" i="4"/>
  <c r="M51" i="4"/>
  <c r="M126" i="4"/>
  <c r="N21" i="4"/>
  <c r="N92" i="4"/>
  <c r="N34" i="4"/>
  <c r="G40" i="4"/>
  <c r="G132" i="4"/>
  <c r="G134" i="4"/>
  <c r="N145" i="4"/>
  <c r="N147" i="4"/>
  <c r="N191" i="4"/>
  <c r="M70" i="4"/>
  <c r="N87" i="4"/>
  <c r="M88" i="4"/>
  <c r="G123" i="4"/>
  <c r="N131" i="4"/>
  <c r="G140" i="4"/>
  <c r="M145" i="4"/>
  <c r="M150" i="4"/>
  <c r="N152" i="4"/>
  <c r="N158" i="4"/>
  <c r="G160" i="4"/>
  <c r="G162" i="4"/>
  <c r="M171" i="4"/>
  <c r="M191" i="4"/>
  <c r="N239" i="4"/>
  <c r="G245" i="4"/>
  <c r="G4" i="4"/>
  <c r="N37" i="4"/>
  <c r="N47" i="4"/>
  <c r="G56" i="4"/>
  <c r="G58" i="4"/>
  <c r="G89" i="4"/>
  <c r="G107" i="4"/>
  <c r="G109" i="4"/>
  <c r="N123" i="4"/>
  <c r="G135" i="4"/>
  <c r="N149" i="4"/>
  <c r="M152" i="4"/>
  <c r="N183" i="4"/>
  <c r="N201" i="4"/>
  <c r="G205" i="4"/>
  <c r="G212" i="4"/>
  <c r="G221" i="4"/>
  <c r="M239" i="4"/>
  <c r="N51" i="4"/>
  <c r="M52" i="4"/>
  <c r="N124" i="4"/>
  <c r="M177" i="4"/>
  <c r="M8" i="4"/>
  <c r="N10" i="4"/>
  <c r="G14" i="4"/>
  <c r="G18" i="4"/>
  <c r="G23" i="4"/>
  <c r="G27" i="4"/>
  <c r="G38" i="4"/>
  <c r="N55" i="4"/>
  <c r="N95" i="4"/>
  <c r="G120" i="4"/>
  <c r="G122" i="4"/>
  <c r="M142" i="4"/>
  <c r="G165" i="4"/>
  <c r="G200" i="4"/>
  <c r="G202" i="4"/>
  <c r="N236" i="4"/>
  <c r="G240" i="4"/>
  <c r="G242" i="4"/>
  <c r="N5" i="4"/>
  <c r="M14" i="4"/>
  <c r="M27" i="4"/>
  <c r="G33" i="4"/>
  <c r="M36" i="4"/>
  <c r="G51" i="4"/>
  <c r="G55" i="4"/>
  <c r="M60" i="4"/>
  <c r="M62" i="4"/>
  <c r="G75" i="4"/>
  <c r="G84" i="4"/>
  <c r="M100" i="4"/>
  <c r="M109" i="4"/>
  <c r="G111" i="4"/>
  <c r="M112" i="4"/>
  <c r="M131" i="4"/>
  <c r="M133" i="4"/>
  <c r="N139" i="4"/>
  <c r="G155" i="4"/>
  <c r="G157" i="4"/>
  <c r="M164" i="4"/>
  <c r="G184" i="4"/>
  <c r="G186" i="4"/>
  <c r="G188" i="4"/>
  <c r="M195" i="4"/>
  <c r="G199" i="4"/>
  <c r="M222" i="4"/>
  <c r="N224" i="4"/>
  <c r="G219" i="4"/>
  <c r="M15" i="4"/>
  <c r="N20" i="4"/>
  <c r="M24" i="4"/>
  <c r="G36" i="4"/>
  <c r="G39" i="4"/>
  <c r="G69" i="4"/>
  <c r="N73" i="4"/>
  <c r="G97" i="4"/>
  <c r="M124" i="4"/>
  <c r="N125" i="4"/>
  <c r="M127" i="4"/>
  <c r="G129" i="4"/>
  <c r="M135" i="4"/>
  <c r="G148" i="4"/>
  <c r="M151" i="4"/>
  <c r="G153" i="4"/>
  <c r="N165" i="4"/>
  <c r="N173" i="4"/>
  <c r="M186" i="4"/>
  <c r="G215" i="4"/>
  <c r="N233" i="4"/>
  <c r="M73" i="4"/>
  <c r="G76" i="4"/>
  <c r="M80" i="4"/>
  <c r="M149" i="4"/>
  <c r="G151" i="4"/>
  <c r="G168" i="4"/>
  <c r="G29" i="4"/>
  <c r="M139" i="4"/>
  <c r="M3" i="4"/>
  <c r="M12" i="4"/>
  <c r="M67" i="4"/>
  <c r="M114" i="4"/>
  <c r="M138" i="4"/>
  <c r="M189" i="4"/>
  <c r="M216" i="4"/>
  <c r="M225" i="4"/>
  <c r="M17" i="4"/>
  <c r="G22" i="4"/>
  <c r="N39" i="4"/>
  <c r="M43" i="4"/>
  <c r="N48" i="4"/>
  <c r="M56" i="4"/>
  <c r="G71" i="4"/>
  <c r="M78" i="4"/>
  <c r="N94" i="4"/>
  <c r="M105" i="4"/>
  <c r="M123" i="4"/>
  <c r="G126" i="4"/>
  <c r="M129" i="4"/>
  <c r="G131" i="4"/>
  <c r="N154" i="4"/>
  <c r="G161" i="4"/>
  <c r="M168" i="4"/>
  <c r="G185" i="4"/>
  <c r="N194" i="4"/>
  <c r="M200" i="4"/>
  <c r="M206" i="4"/>
  <c r="G209" i="4"/>
  <c r="N212" i="4"/>
  <c r="N229" i="4"/>
  <c r="M233" i="4"/>
  <c r="G238" i="4"/>
  <c r="M5" i="4"/>
  <c r="G7" i="4"/>
  <c r="G16" i="4"/>
  <c r="M26" i="4"/>
  <c r="G28" i="4"/>
  <c r="M45" i="4"/>
  <c r="G61" i="4"/>
  <c r="M72" i="4"/>
  <c r="G77" i="4"/>
  <c r="M84" i="4"/>
  <c r="G90" i="4"/>
  <c r="G96" i="4"/>
  <c r="M97" i="4"/>
  <c r="G99" i="4"/>
  <c r="M107" i="4"/>
  <c r="M117" i="4"/>
  <c r="M120" i="4"/>
  <c r="G128" i="4"/>
  <c r="M132" i="4"/>
  <c r="M134" i="4"/>
  <c r="N138" i="4"/>
  <c r="N162" i="4"/>
  <c r="M170" i="4"/>
  <c r="G172" i="4"/>
  <c r="M175" i="4"/>
  <c r="G178" i="4"/>
  <c r="G187" i="4"/>
  <c r="M188" i="4"/>
  <c r="G190" i="4"/>
  <c r="G193" i="4"/>
  <c r="G211" i="4"/>
  <c r="M221" i="4"/>
  <c r="N19" i="4"/>
  <c r="G21" i="4"/>
  <c r="G25" i="4"/>
  <c r="M32" i="4"/>
  <c r="G41" i="4"/>
  <c r="M58" i="4"/>
  <c r="N59" i="4"/>
  <c r="G68" i="4"/>
  <c r="M69" i="4"/>
  <c r="M71" i="4"/>
  <c r="N91" i="4"/>
  <c r="N93" i="4"/>
  <c r="G106" i="4"/>
  <c r="M110" i="4"/>
  <c r="N116" i="4"/>
  <c r="G119" i="4"/>
  <c r="M141" i="4"/>
  <c r="M158" i="4"/>
  <c r="G166" i="4"/>
  <c r="M181" i="4"/>
  <c r="M185" i="4"/>
  <c r="M194" i="4"/>
  <c r="M197" i="4"/>
  <c r="N206" i="4"/>
  <c r="G223" i="4"/>
  <c r="G226" i="4"/>
  <c r="G243" i="4"/>
  <c r="N96" i="4"/>
  <c r="N7" i="4"/>
  <c r="N8" i="4"/>
  <c r="N23" i="4"/>
  <c r="N32" i="4"/>
  <c r="N49" i="4"/>
  <c r="N88" i="4"/>
  <c r="N112" i="4"/>
  <c r="N128" i="4"/>
  <c r="N175" i="4"/>
  <c r="N177" i="4"/>
  <c r="N214" i="4"/>
  <c r="N230" i="4"/>
  <c r="N178" i="4"/>
  <c r="N6" i="4"/>
  <c r="G10" i="4"/>
  <c r="M16" i="4"/>
  <c r="N53" i="4"/>
  <c r="M54" i="4"/>
  <c r="N60" i="4"/>
  <c r="M61" i="4"/>
  <c r="M65" i="4"/>
  <c r="G73" i="4"/>
  <c r="M77" i="4"/>
  <c r="M81" i="4"/>
  <c r="M86" i="4"/>
  <c r="M90" i="4"/>
  <c r="M116" i="4"/>
  <c r="N142" i="4"/>
  <c r="M143" i="4"/>
  <c r="M147" i="4"/>
  <c r="G163" i="4"/>
  <c r="N174" i="4"/>
  <c r="M178" i="4"/>
  <c r="M187" i="4"/>
  <c r="M211" i="4"/>
  <c r="N216" i="4"/>
  <c r="N220" i="4"/>
  <c r="N228" i="4"/>
  <c r="N231" i="4"/>
  <c r="M241" i="4"/>
  <c r="N243" i="4"/>
  <c r="M10" i="4"/>
  <c r="N190" i="4"/>
  <c r="G9" i="4"/>
  <c r="M11" i="4"/>
  <c r="M13" i="4"/>
  <c r="M21" i="4"/>
  <c r="N24" i="4"/>
  <c r="M25" i="4"/>
  <c r="M41" i="4"/>
  <c r="M42" i="4"/>
  <c r="M50" i="4"/>
  <c r="G53" i="4"/>
  <c r="G60" i="4"/>
  <c r="N80" i="4"/>
  <c r="G92" i="4"/>
  <c r="N105" i="4"/>
  <c r="M106" i="4"/>
  <c r="G108" i="4"/>
  <c r="G154" i="4"/>
  <c r="M160" i="4"/>
  <c r="N161" i="4"/>
  <c r="M166" i="4"/>
  <c r="N168" i="4"/>
  <c r="M174" i="4"/>
  <c r="G216" i="4"/>
  <c r="G237" i="4"/>
  <c r="N241" i="4"/>
  <c r="G146" i="4"/>
  <c r="M156" i="4"/>
  <c r="M162" i="4"/>
  <c r="G164" i="4"/>
  <c r="M165" i="4"/>
  <c r="G170" i="4"/>
  <c r="M180" i="4"/>
  <c r="M184" i="4"/>
  <c r="G189" i="4"/>
  <c r="N195" i="4"/>
  <c r="N196" i="4"/>
  <c r="M203" i="4"/>
  <c r="N211" i="4"/>
  <c r="M231" i="4"/>
  <c r="M237" i="4"/>
  <c r="N242" i="4"/>
  <c r="M243" i="4"/>
  <c r="M20" i="4"/>
  <c r="N35" i="4"/>
  <c r="N42" i="4"/>
  <c r="G45" i="4"/>
  <c r="N63" i="4"/>
  <c r="G78" i="4"/>
  <c r="M85" i="4"/>
  <c r="G91" i="4"/>
  <c r="M92" i="4"/>
  <c r="M102" i="4"/>
  <c r="G114" i="4"/>
  <c r="G149" i="4"/>
  <c r="G152" i="4"/>
  <c r="N164" i="4"/>
  <c r="N167" i="4"/>
  <c r="G175" i="4"/>
  <c r="G204" i="4"/>
  <c r="M218" i="4"/>
  <c r="M230" i="4"/>
  <c r="M234" i="4"/>
  <c r="G236" i="4"/>
  <c r="M192" i="4"/>
  <c r="G197" i="4"/>
  <c r="N200" i="4"/>
  <c r="G206" i="4"/>
  <c r="M207" i="4"/>
  <c r="N209" i="4"/>
  <c r="M210" i="4"/>
  <c r="G222" i="4"/>
  <c r="M226" i="4"/>
  <c r="G228" i="4"/>
  <c r="N238" i="4"/>
  <c r="N17" i="4"/>
  <c r="G34" i="4"/>
  <c r="M35" i="4"/>
  <c r="G50" i="4"/>
  <c r="G54" i="4"/>
  <c r="N71" i="4"/>
  <c r="N81" i="4"/>
  <c r="G87" i="4"/>
  <c r="M98" i="4"/>
  <c r="G104" i="4"/>
  <c r="G112" i="4"/>
  <c r="M119" i="4"/>
  <c r="G121" i="4"/>
  <c r="M122" i="4"/>
  <c r="M128" i="4"/>
  <c r="M137" i="4"/>
  <c r="M148" i="4"/>
  <c r="G150" i="4"/>
  <c r="G156" i="4"/>
  <c r="N159" i="4"/>
  <c r="N172" i="4"/>
  <c r="N188" i="4"/>
  <c r="M196" i="4"/>
  <c r="G198" i="4"/>
  <c r="G214" i="4"/>
  <c r="M215" i="4"/>
  <c r="N218" i="4"/>
  <c r="M219" i="4"/>
  <c r="N179" i="4"/>
  <c r="N14" i="4"/>
  <c r="N148" i="4"/>
  <c r="N226" i="4"/>
  <c r="M49" i="4"/>
  <c r="N98" i="4"/>
  <c r="N106" i="4"/>
  <c r="N16" i="4"/>
  <c r="N27" i="4"/>
  <c r="M39" i="4"/>
  <c r="N68" i="4"/>
  <c r="M157" i="4"/>
  <c r="N170" i="4"/>
  <c r="N83" i="4"/>
  <c r="N134" i="4"/>
  <c r="N54" i="4"/>
  <c r="N36" i="4"/>
  <c r="N11" i="4"/>
  <c r="N25" i="4"/>
  <c r="N103" i="4"/>
  <c r="N61" i="4"/>
  <c r="N77" i="4"/>
  <c r="N119" i="4"/>
  <c r="N204" i="4"/>
  <c r="N232" i="4"/>
  <c r="N199" i="4"/>
  <c r="N223" i="4"/>
  <c r="N180" i="4"/>
  <c r="N185" i="4"/>
  <c r="N207" i="4"/>
  <c r="M6" i="4"/>
  <c r="N44" i="4"/>
  <c r="N70" i="4"/>
  <c r="M167" i="4"/>
  <c r="N187" i="4"/>
  <c r="N107" i="4"/>
  <c r="N141" i="4"/>
  <c r="N132" i="4"/>
  <c r="N156" i="4"/>
  <c r="N12" i="4"/>
  <c r="M19" i="4"/>
  <c r="G44" i="4"/>
  <c r="G70" i="4"/>
  <c r="N89" i="4"/>
  <c r="N97" i="4"/>
  <c r="N133" i="4"/>
  <c r="G142" i="4"/>
  <c r="M159" i="4"/>
  <c r="G210" i="4"/>
  <c r="M214" i="4"/>
  <c r="N28" i="4"/>
  <c r="M99" i="4"/>
  <c r="M108" i="4"/>
  <c r="N143" i="4"/>
  <c r="N163" i="4"/>
  <c r="N192" i="4"/>
  <c r="M208" i="4"/>
  <c r="N219" i="4"/>
  <c r="N15" i="4"/>
  <c r="N18" i="4"/>
  <c r="M29" i="4"/>
  <c r="M38" i="4"/>
  <c r="N43" i="4"/>
  <c r="N90" i="4"/>
  <c r="M91" i="4"/>
  <c r="N114" i="4"/>
  <c r="M115" i="4"/>
  <c r="N126" i="4"/>
  <c r="N129" i="4"/>
  <c r="M144" i="4"/>
  <c r="N169" i="4"/>
  <c r="N198" i="4"/>
  <c r="N210" i="4"/>
  <c r="M220" i="4"/>
  <c r="N113" i="4"/>
  <c r="N4" i="4"/>
  <c r="N69" i="4"/>
  <c r="N120" i="4"/>
  <c r="N205" i="4"/>
  <c r="N237" i="4"/>
  <c r="N84" i="4"/>
  <c r="N157" i="4"/>
  <c r="N38" i="4"/>
  <c r="N67" i="4"/>
  <c r="N155" i="4"/>
  <c r="M213" i="4"/>
  <c r="N225" i="4"/>
  <c r="N244" i="4"/>
  <c r="M245" i="4"/>
  <c r="N150" i="4"/>
  <c r="G13" i="4"/>
  <c r="N29" i="4"/>
  <c r="M47" i="4"/>
  <c r="N76" i="4"/>
  <c r="N82" i="4"/>
  <c r="N127" i="4"/>
  <c r="M136" i="4"/>
  <c r="M173" i="4"/>
  <c r="N186" i="4"/>
  <c r="N193" i="4"/>
  <c r="M244" i="4"/>
  <c r="G59" i="4"/>
  <c r="M83" i="4"/>
  <c r="N117" i="4"/>
  <c r="N121" i="4"/>
  <c r="G139" i="4"/>
  <c r="M179" i="4"/>
  <c r="N197" i="4"/>
  <c r="M199" i="4"/>
  <c r="G203" i="4"/>
  <c r="G241" i="4"/>
  <c r="N153" i="4"/>
  <c r="N30" i="4"/>
  <c r="N72" i="4"/>
  <c r="M89" i="4"/>
  <c r="M155" i="4"/>
  <c r="N189" i="4"/>
  <c r="N234" i="4"/>
  <c r="G48" i="4"/>
  <c r="M59" i="4"/>
  <c r="N108" i="4"/>
  <c r="M125" i="4"/>
  <c r="G167" i="4"/>
  <c r="G208" i="4"/>
  <c r="N227" i="4"/>
  <c r="N62" i="4"/>
  <c r="G85" i="4"/>
  <c r="M95" i="4"/>
  <c r="N144" i="4"/>
  <c r="M161" i="4"/>
  <c r="G227" i="4"/>
  <c r="M235" i="4"/>
  <c r="G239" i="4"/>
  <c r="N245" i="4"/>
  <c r="G66" i="4"/>
  <c r="G102" i="4"/>
  <c r="G138" i="4"/>
  <c r="G174" i="4"/>
  <c r="M209" i="4"/>
  <c r="M232" i="4"/>
  <c r="N221" i="4"/>
  <c r="J156" i="3"/>
  <c r="J219" i="3"/>
  <c r="J112" i="3"/>
  <c r="J205" i="3"/>
  <c r="J70" i="3"/>
  <c r="J59" i="3"/>
  <c r="J209" i="3"/>
  <c r="J200" i="3"/>
  <c r="J170" i="3"/>
  <c r="J242" i="3"/>
  <c r="J74" i="3"/>
  <c r="J79" i="3"/>
  <c r="J221" i="3"/>
  <c r="J179" i="3"/>
  <c r="J154" i="3"/>
  <c r="J91" i="3"/>
  <c r="J136" i="3"/>
  <c r="J143" i="3"/>
  <c r="J33" i="3"/>
  <c r="J54" i="3"/>
  <c r="J57" i="3"/>
  <c r="J76" i="3"/>
  <c r="J144" i="3"/>
  <c r="J182" i="3"/>
  <c r="J190" i="3"/>
  <c r="J213" i="3"/>
  <c r="J61" i="3"/>
  <c r="J69" i="3"/>
  <c r="J123" i="3"/>
  <c r="J174" i="3"/>
  <c r="J204" i="3"/>
  <c r="J227" i="3"/>
  <c r="J234" i="3"/>
  <c r="J241" i="3"/>
  <c r="J149" i="3"/>
  <c r="J181" i="3"/>
  <c r="J211" i="3"/>
  <c r="J225" i="3"/>
  <c r="J83" i="3"/>
  <c r="J37" i="3"/>
  <c r="J65" i="3"/>
  <c r="J77" i="3"/>
  <c r="J100" i="3"/>
  <c r="J168" i="3"/>
  <c r="J191" i="3"/>
  <c r="J129" i="3"/>
  <c r="J150" i="3"/>
  <c r="J159" i="3"/>
  <c r="J166" i="3"/>
  <c r="J189" i="3"/>
  <c r="J47" i="3"/>
  <c r="J233" i="3"/>
  <c r="J71" i="3"/>
  <c r="J229" i="3"/>
  <c r="J50" i="3"/>
  <c r="J92" i="3"/>
  <c r="J173" i="3"/>
  <c r="J206" i="3"/>
  <c r="J34" i="3"/>
  <c r="J157" i="3"/>
  <c r="J165" i="3"/>
  <c r="J109" i="3"/>
  <c r="J60" i="3"/>
  <c r="J95" i="3"/>
  <c r="J121" i="3"/>
  <c r="J58" i="3"/>
  <c r="J230" i="3"/>
  <c r="J41" i="3"/>
  <c r="J56" i="3"/>
  <c r="J82" i="3"/>
  <c r="J105" i="3"/>
  <c r="J124" i="3"/>
  <c r="J198" i="3"/>
  <c r="J235" i="3"/>
  <c r="J187" i="3"/>
  <c r="J101" i="3"/>
  <c r="J153" i="3"/>
  <c r="J215" i="3"/>
  <c r="J202" i="3"/>
  <c r="J89" i="3"/>
  <c r="J117" i="3"/>
  <c r="J126" i="3"/>
  <c r="J163" i="3"/>
  <c r="J45" i="3"/>
  <c r="J103" i="3"/>
  <c r="J81" i="3"/>
  <c r="J141" i="3"/>
  <c r="J42" i="3"/>
  <c r="J201" i="3"/>
  <c r="J172" i="3"/>
  <c r="J145" i="3"/>
  <c r="J139" i="3"/>
  <c r="J151" i="3"/>
  <c r="J120" i="3"/>
  <c r="J114" i="3"/>
  <c r="J80" i="3"/>
  <c r="J86" i="3"/>
  <c r="J199" i="3"/>
  <c r="J203" i="3"/>
  <c r="J158" i="3"/>
  <c r="J62" i="3"/>
  <c r="J220" i="3"/>
  <c r="J107" i="3"/>
  <c r="J222" i="3"/>
  <c r="J55" i="3"/>
  <c r="J146" i="3"/>
  <c r="J140" i="3"/>
  <c r="J183" i="3"/>
  <c r="J67" i="3"/>
  <c r="J108" i="3"/>
  <c r="J195" i="3"/>
  <c r="J72" i="3"/>
  <c r="J192" i="3"/>
  <c r="J231" i="3"/>
  <c r="J39" i="3"/>
  <c r="J102" i="3"/>
  <c r="J130" i="3"/>
  <c r="J36" i="3"/>
  <c r="J118" i="3"/>
  <c r="J186" i="3"/>
  <c r="J66" i="3"/>
  <c r="J99" i="3"/>
  <c r="J134" i="3"/>
  <c r="J167" i="3"/>
  <c r="J115" i="3"/>
  <c r="J210" i="3"/>
  <c r="J93" i="3"/>
  <c r="J177" i="3"/>
  <c r="J84" i="3"/>
  <c r="J131" i="3"/>
  <c r="J207" i="3"/>
  <c r="J243" i="3"/>
  <c r="J246" i="3"/>
  <c r="J43" i="3"/>
  <c r="J78" i="3"/>
  <c r="J111" i="3"/>
  <c r="J237" i="3"/>
  <c r="J216" i="3"/>
  <c r="J48" i="3"/>
  <c r="J63" i="3"/>
  <c r="J162" i="3"/>
  <c r="J193" i="3"/>
  <c r="J30" i="3"/>
  <c r="J23" i="3"/>
  <c r="J25" i="3"/>
  <c r="J18" i="3"/>
  <c r="J24" i="3"/>
  <c r="J27" i="3"/>
  <c r="J197" i="3"/>
  <c r="J125" i="3"/>
  <c r="J214" i="3"/>
  <c r="J232" i="3"/>
  <c r="J188" i="3"/>
  <c r="J142" i="3"/>
  <c r="J116" i="3"/>
  <c r="J160" i="3"/>
  <c r="J106" i="3"/>
  <c r="J178" i="3"/>
  <c r="J152" i="3"/>
  <c r="J52" i="3"/>
  <c r="J20" i="3"/>
  <c r="J32" i="3"/>
  <c r="J75" i="3"/>
  <c r="J122" i="3"/>
  <c r="J137" i="3"/>
  <c r="J169" i="3"/>
  <c r="J224" i="3"/>
  <c r="J228" i="3"/>
  <c r="J212" i="3"/>
  <c r="J238" i="3"/>
  <c r="J8" i="3"/>
  <c r="J161" i="3"/>
  <c r="J164" i="3"/>
  <c r="J223" i="3"/>
  <c r="J7" i="3"/>
  <c r="J44" i="3"/>
  <c r="J88" i="3"/>
  <c r="J104" i="3"/>
  <c r="J196" i="3"/>
  <c r="I31" i="2" l="1"/>
  <c r="F31" i="2"/>
  <c r="E31" i="2"/>
  <c r="D31" i="2"/>
  <c r="J31" i="2" s="1"/>
  <c r="I30" i="2"/>
  <c r="F30" i="2"/>
  <c r="E30" i="2"/>
  <c r="G30" i="2" s="1"/>
  <c r="D30" i="2"/>
  <c r="I29" i="2"/>
  <c r="F29" i="2"/>
  <c r="E29" i="2"/>
  <c r="G29" i="2" s="1"/>
  <c r="D29" i="2"/>
  <c r="J29" i="2" s="1"/>
  <c r="I28" i="2"/>
  <c r="F28" i="2"/>
  <c r="E28" i="2"/>
  <c r="D28" i="2"/>
  <c r="J28" i="2" s="1"/>
  <c r="I27" i="2"/>
  <c r="F27" i="2"/>
  <c r="E27" i="2"/>
  <c r="D27" i="2"/>
  <c r="I26" i="2"/>
  <c r="F26" i="2"/>
  <c r="E26" i="2"/>
  <c r="D26" i="2"/>
  <c r="J26" i="2" s="1"/>
  <c r="I25" i="2"/>
  <c r="F25" i="2"/>
  <c r="E25" i="2"/>
  <c r="D25" i="2"/>
  <c r="J25" i="2" s="1"/>
  <c r="I24" i="2"/>
  <c r="F24" i="2"/>
  <c r="E24" i="2"/>
  <c r="D24" i="2"/>
  <c r="I23" i="2"/>
  <c r="F23" i="2"/>
  <c r="E23" i="2"/>
  <c r="D23" i="2"/>
  <c r="J23" i="2" s="1"/>
  <c r="I22" i="2"/>
  <c r="F22" i="2"/>
  <c r="E22" i="2"/>
  <c r="D22" i="2"/>
  <c r="J22" i="2" s="1"/>
  <c r="I21" i="2"/>
  <c r="F21" i="2"/>
  <c r="E21" i="2"/>
  <c r="D21" i="2"/>
  <c r="J21" i="2" s="1"/>
  <c r="I20" i="2"/>
  <c r="F20" i="2"/>
  <c r="E20" i="2"/>
  <c r="D20" i="2"/>
  <c r="I19" i="2"/>
  <c r="F19" i="2"/>
  <c r="E19" i="2"/>
  <c r="D19" i="2"/>
  <c r="I18" i="2"/>
  <c r="F18" i="2"/>
  <c r="E18" i="2"/>
  <c r="D18" i="2"/>
  <c r="I17" i="2"/>
  <c r="F17" i="2"/>
  <c r="E17" i="2"/>
  <c r="D17" i="2"/>
  <c r="J17" i="2" s="1"/>
  <c r="I16" i="2"/>
  <c r="F16" i="2"/>
  <c r="E16" i="2"/>
  <c r="D16" i="2"/>
  <c r="J16" i="2" s="1"/>
  <c r="I15" i="2"/>
  <c r="F15" i="2"/>
  <c r="E15" i="2"/>
  <c r="D15" i="2"/>
  <c r="J15" i="2" s="1"/>
  <c r="I14" i="2"/>
  <c r="F14" i="2"/>
  <c r="E14" i="2"/>
  <c r="D14" i="2"/>
  <c r="J14" i="2" s="1"/>
  <c r="I13" i="2"/>
  <c r="F13" i="2"/>
  <c r="E13" i="2"/>
  <c r="G13" i="2" s="1"/>
  <c r="D13" i="2"/>
  <c r="J13" i="2" s="1"/>
  <c r="I12" i="2"/>
  <c r="F12" i="2"/>
  <c r="E12" i="2"/>
  <c r="D12" i="2"/>
  <c r="J12" i="2" s="1"/>
  <c r="I11" i="2"/>
  <c r="F11" i="2"/>
  <c r="E11" i="2"/>
  <c r="D11" i="2"/>
  <c r="J11" i="2" s="1"/>
  <c r="I10" i="2"/>
  <c r="F10" i="2"/>
  <c r="E10" i="2"/>
  <c r="D10" i="2"/>
  <c r="I9" i="2"/>
  <c r="F9" i="2"/>
  <c r="E9" i="2"/>
  <c r="G9" i="2" s="1"/>
  <c r="D9" i="2"/>
  <c r="J9" i="2" s="1"/>
  <c r="I8" i="2"/>
  <c r="F8" i="2"/>
  <c r="E8" i="2"/>
  <c r="G8" i="2" s="1"/>
  <c r="D8" i="2"/>
  <c r="I7" i="2"/>
  <c r="F7" i="2"/>
  <c r="E7" i="2"/>
  <c r="D7" i="2"/>
  <c r="J7" i="2" s="1"/>
  <c r="I6" i="2"/>
  <c r="F6" i="2"/>
  <c r="E6" i="2"/>
  <c r="D6" i="2"/>
  <c r="J6" i="2" s="1"/>
  <c r="I5" i="2"/>
  <c r="F5" i="2"/>
  <c r="E5" i="2"/>
  <c r="D5" i="2"/>
  <c r="J5" i="2" s="1"/>
  <c r="I4" i="2"/>
  <c r="F4" i="2"/>
  <c r="E4" i="2"/>
  <c r="D4" i="2"/>
  <c r="I3" i="2"/>
  <c r="F3" i="2"/>
  <c r="E3" i="2"/>
  <c r="G3" i="2" s="1"/>
  <c r="D3" i="2"/>
  <c r="J3" i="2" s="1"/>
  <c r="I2" i="2"/>
  <c r="F2" i="2"/>
  <c r="E2" i="2"/>
  <c r="G2" i="2" s="1"/>
  <c r="D2" i="2"/>
  <c r="T4" i="1"/>
  <c r="T5" i="1"/>
  <c r="T11" i="1"/>
  <c r="T12" i="1"/>
  <c r="T13" i="1"/>
  <c r="T14" i="1"/>
  <c r="T15" i="1"/>
  <c r="T16" i="1"/>
  <c r="T17" i="1"/>
  <c r="T23" i="1"/>
  <c r="T24" i="1"/>
  <c r="T25" i="1"/>
  <c r="T26" i="1"/>
  <c r="T27" i="1"/>
  <c r="T28" i="1"/>
  <c r="T29" i="1"/>
  <c r="T84" i="1"/>
  <c r="T85" i="1"/>
  <c r="T96" i="1"/>
  <c r="T97" i="1"/>
  <c r="T192" i="1"/>
  <c r="T3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O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O27" i="1" s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O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O60" i="1" s="1"/>
  <c r="L61" i="1"/>
  <c r="M61" i="1"/>
  <c r="N61" i="1"/>
  <c r="L62" i="1"/>
  <c r="M62" i="1"/>
  <c r="N62" i="1"/>
  <c r="L63" i="1"/>
  <c r="M63" i="1"/>
  <c r="N63" i="1"/>
  <c r="O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77" i="1"/>
  <c r="M77" i="1"/>
  <c r="N77" i="1"/>
  <c r="L78" i="1"/>
  <c r="M78" i="1"/>
  <c r="N78" i="1"/>
  <c r="L79" i="1"/>
  <c r="M79" i="1"/>
  <c r="N79" i="1"/>
  <c r="L80" i="1"/>
  <c r="M80" i="1"/>
  <c r="N80" i="1"/>
  <c r="L81" i="1"/>
  <c r="M81" i="1"/>
  <c r="N81" i="1"/>
  <c r="L82" i="1"/>
  <c r="M82" i="1"/>
  <c r="N82" i="1"/>
  <c r="L83" i="1"/>
  <c r="M83" i="1"/>
  <c r="N83" i="1"/>
  <c r="L84" i="1"/>
  <c r="M84" i="1"/>
  <c r="N84" i="1"/>
  <c r="L85" i="1"/>
  <c r="M85" i="1"/>
  <c r="N85" i="1"/>
  <c r="L86" i="1"/>
  <c r="M86" i="1"/>
  <c r="N86" i="1"/>
  <c r="L87" i="1"/>
  <c r="M87" i="1"/>
  <c r="N87" i="1"/>
  <c r="L88" i="1"/>
  <c r="M88" i="1"/>
  <c r="N88" i="1"/>
  <c r="L89" i="1"/>
  <c r="M89" i="1"/>
  <c r="N89" i="1"/>
  <c r="L90" i="1"/>
  <c r="M90" i="1"/>
  <c r="N90" i="1"/>
  <c r="L91" i="1"/>
  <c r="M91" i="1"/>
  <c r="N91" i="1"/>
  <c r="L92" i="1"/>
  <c r="M92" i="1"/>
  <c r="N92" i="1"/>
  <c r="L93" i="1"/>
  <c r="M93" i="1"/>
  <c r="N93" i="1"/>
  <c r="L94" i="1"/>
  <c r="O94" i="1" s="1"/>
  <c r="M94" i="1"/>
  <c r="N94" i="1"/>
  <c r="L95" i="1"/>
  <c r="M95" i="1"/>
  <c r="N95" i="1"/>
  <c r="L96" i="1"/>
  <c r="M96" i="1"/>
  <c r="N96" i="1"/>
  <c r="L97" i="1"/>
  <c r="M97" i="1"/>
  <c r="N97" i="1"/>
  <c r="L98" i="1"/>
  <c r="M98" i="1"/>
  <c r="N98" i="1"/>
  <c r="L99" i="1"/>
  <c r="M99" i="1"/>
  <c r="N99" i="1"/>
  <c r="L100" i="1"/>
  <c r="M100" i="1"/>
  <c r="N100" i="1"/>
  <c r="L101" i="1"/>
  <c r="M101" i="1"/>
  <c r="N101" i="1"/>
  <c r="L102" i="1"/>
  <c r="M102" i="1"/>
  <c r="N102" i="1"/>
  <c r="L103" i="1"/>
  <c r="M103" i="1"/>
  <c r="N103" i="1"/>
  <c r="L104" i="1"/>
  <c r="M104" i="1"/>
  <c r="N104" i="1"/>
  <c r="L105" i="1"/>
  <c r="M105" i="1"/>
  <c r="N105" i="1"/>
  <c r="L106" i="1"/>
  <c r="M106" i="1"/>
  <c r="N106" i="1"/>
  <c r="L107" i="1"/>
  <c r="M107" i="1"/>
  <c r="N107" i="1"/>
  <c r="L108" i="1"/>
  <c r="M108" i="1"/>
  <c r="N108" i="1"/>
  <c r="L109" i="1"/>
  <c r="M109" i="1"/>
  <c r="N109" i="1"/>
  <c r="O109" i="1" s="1"/>
  <c r="L110" i="1"/>
  <c r="M110" i="1"/>
  <c r="N110" i="1"/>
  <c r="L111" i="1"/>
  <c r="M111" i="1"/>
  <c r="N111" i="1"/>
  <c r="O111" i="1"/>
  <c r="L112" i="1"/>
  <c r="M112" i="1"/>
  <c r="N112" i="1"/>
  <c r="L113" i="1"/>
  <c r="M113" i="1"/>
  <c r="N113" i="1"/>
  <c r="L114" i="1"/>
  <c r="M114" i="1"/>
  <c r="N114" i="1"/>
  <c r="L115" i="1"/>
  <c r="M115" i="1"/>
  <c r="N115" i="1"/>
  <c r="L116" i="1"/>
  <c r="M116" i="1"/>
  <c r="N116" i="1"/>
  <c r="L117" i="1"/>
  <c r="M117" i="1"/>
  <c r="N117" i="1"/>
  <c r="L118" i="1"/>
  <c r="M118" i="1"/>
  <c r="N118" i="1"/>
  <c r="L119" i="1"/>
  <c r="M119" i="1"/>
  <c r="N119" i="1"/>
  <c r="L120" i="1"/>
  <c r="M120" i="1"/>
  <c r="N120" i="1"/>
  <c r="L121" i="1"/>
  <c r="M121" i="1"/>
  <c r="N121" i="1"/>
  <c r="L122" i="1"/>
  <c r="M122" i="1"/>
  <c r="N122" i="1"/>
  <c r="L123" i="1"/>
  <c r="M123" i="1"/>
  <c r="N123" i="1"/>
  <c r="L124" i="1"/>
  <c r="M124" i="1"/>
  <c r="N124" i="1"/>
  <c r="L125" i="1"/>
  <c r="M125" i="1"/>
  <c r="N125" i="1"/>
  <c r="L126" i="1"/>
  <c r="M126" i="1"/>
  <c r="N126" i="1"/>
  <c r="L127" i="1"/>
  <c r="M127" i="1"/>
  <c r="N127" i="1"/>
  <c r="L128" i="1"/>
  <c r="M128" i="1"/>
  <c r="N128" i="1"/>
  <c r="L129" i="1"/>
  <c r="M129" i="1"/>
  <c r="N129" i="1"/>
  <c r="L130" i="1"/>
  <c r="M130" i="1"/>
  <c r="N130" i="1"/>
  <c r="L131" i="1"/>
  <c r="M131" i="1"/>
  <c r="N131" i="1"/>
  <c r="L132" i="1"/>
  <c r="M132" i="1"/>
  <c r="N132" i="1"/>
  <c r="O132" i="1" s="1"/>
  <c r="L133" i="1"/>
  <c r="M133" i="1"/>
  <c r="N133" i="1"/>
  <c r="L134" i="1"/>
  <c r="M134" i="1"/>
  <c r="N134" i="1"/>
  <c r="L135" i="1"/>
  <c r="M135" i="1"/>
  <c r="N135" i="1"/>
  <c r="L136" i="1"/>
  <c r="M136" i="1"/>
  <c r="N136" i="1"/>
  <c r="L137" i="1"/>
  <c r="M137" i="1"/>
  <c r="N137" i="1"/>
  <c r="L138" i="1"/>
  <c r="M138" i="1"/>
  <c r="N138" i="1"/>
  <c r="L139" i="1"/>
  <c r="M139" i="1"/>
  <c r="N139" i="1"/>
  <c r="L140" i="1"/>
  <c r="M140" i="1"/>
  <c r="N140" i="1"/>
  <c r="L141" i="1"/>
  <c r="M141" i="1"/>
  <c r="N141" i="1"/>
  <c r="L142" i="1"/>
  <c r="M142" i="1"/>
  <c r="N142" i="1"/>
  <c r="L143" i="1"/>
  <c r="M143" i="1"/>
  <c r="N143" i="1"/>
  <c r="L144" i="1"/>
  <c r="M144" i="1"/>
  <c r="N144" i="1"/>
  <c r="L145" i="1"/>
  <c r="M145" i="1"/>
  <c r="N145" i="1"/>
  <c r="L146" i="1"/>
  <c r="M146" i="1"/>
  <c r="N146" i="1"/>
  <c r="L147" i="1"/>
  <c r="M147" i="1"/>
  <c r="N147" i="1"/>
  <c r="L148" i="1"/>
  <c r="M148" i="1"/>
  <c r="N148" i="1"/>
  <c r="O148" i="1"/>
  <c r="L149" i="1"/>
  <c r="M149" i="1"/>
  <c r="N149" i="1"/>
  <c r="L150" i="1"/>
  <c r="M150" i="1"/>
  <c r="N150" i="1"/>
  <c r="L151" i="1"/>
  <c r="M151" i="1"/>
  <c r="N151" i="1"/>
  <c r="L152" i="1"/>
  <c r="M152" i="1"/>
  <c r="N152" i="1"/>
  <c r="L153" i="1"/>
  <c r="M153" i="1"/>
  <c r="N153" i="1"/>
  <c r="L154" i="1"/>
  <c r="M154" i="1"/>
  <c r="N154" i="1"/>
  <c r="L155" i="1"/>
  <c r="M155" i="1"/>
  <c r="N155" i="1"/>
  <c r="L156" i="1"/>
  <c r="M156" i="1"/>
  <c r="N156" i="1"/>
  <c r="L157" i="1"/>
  <c r="M157" i="1"/>
  <c r="N157" i="1"/>
  <c r="L158" i="1"/>
  <c r="M158" i="1"/>
  <c r="N158" i="1"/>
  <c r="L159" i="1"/>
  <c r="M159" i="1"/>
  <c r="N159" i="1"/>
  <c r="L160" i="1"/>
  <c r="M160" i="1"/>
  <c r="N160" i="1"/>
  <c r="L161" i="1"/>
  <c r="M161" i="1"/>
  <c r="N161" i="1"/>
  <c r="L162" i="1"/>
  <c r="M162" i="1"/>
  <c r="N162" i="1"/>
  <c r="L163" i="1"/>
  <c r="M163" i="1"/>
  <c r="N163" i="1"/>
  <c r="L164" i="1"/>
  <c r="M164" i="1"/>
  <c r="N164" i="1"/>
  <c r="L165" i="1"/>
  <c r="M165" i="1"/>
  <c r="N165" i="1"/>
  <c r="L166" i="1"/>
  <c r="M166" i="1"/>
  <c r="N166" i="1"/>
  <c r="O166" i="1" s="1"/>
  <c r="L167" i="1"/>
  <c r="M167" i="1"/>
  <c r="N167" i="1"/>
  <c r="L168" i="1"/>
  <c r="M168" i="1"/>
  <c r="N168" i="1"/>
  <c r="L169" i="1"/>
  <c r="M169" i="1"/>
  <c r="N169" i="1"/>
  <c r="L170" i="1"/>
  <c r="M170" i="1"/>
  <c r="N170" i="1"/>
  <c r="L171" i="1"/>
  <c r="M171" i="1"/>
  <c r="N171" i="1"/>
  <c r="O171" i="1"/>
  <c r="L172" i="1"/>
  <c r="M172" i="1"/>
  <c r="N172" i="1"/>
  <c r="L173" i="1"/>
  <c r="M173" i="1"/>
  <c r="N173" i="1"/>
  <c r="L174" i="1"/>
  <c r="M174" i="1"/>
  <c r="N174" i="1"/>
  <c r="L175" i="1"/>
  <c r="M175" i="1"/>
  <c r="N175" i="1"/>
  <c r="L176" i="1"/>
  <c r="M176" i="1"/>
  <c r="N176" i="1"/>
  <c r="L177" i="1"/>
  <c r="O177" i="1" s="1"/>
  <c r="M177" i="1"/>
  <c r="N177" i="1"/>
  <c r="L178" i="1"/>
  <c r="M178" i="1"/>
  <c r="N178" i="1"/>
  <c r="L179" i="1"/>
  <c r="M179" i="1"/>
  <c r="N179" i="1"/>
  <c r="L180" i="1"/>
  <c r="M180" i="1"/>
  <c r="N180" i="1"/>
  <c r="L181" i="1"/>
  <c r="M181" i="1"/>
  <c r="N181" i="1"/>
  <c r="L182" i="1"/>
  <c r="M182" i="1"/>
  <c r="N182" i="1"/>
  <c r="L183" i="1"/>
  <c r="M183" i="1"/>
  <c r="N183" i="1"/>
  <c r="L184" i="1"/>
  <c r="M184" i="1"/>
  <c r="N184" i="1"/>
  <c r="L185" i="1"/>
  <c r="M185" i="1"/>
  <c r="N185" i="1"/>
  <c r="L186" i="1"/>
  <c r="M186" i="1"/>
  <c r="N186" i="1"/>
  <c r="L187" i="1"/>
  <c r="M187" i="1"/>
  <c r="N187" i="1"/>
  <c r="L188" i="1"/>
  <c r="M188" i="1"/>
  <c r="N188" i="1"/>
  <c r="L189" i="1"/>
  <c r="M189" i="1"/>
  <c r="N189" i="1"/>
  <c r="L190" i="1"/>
  <c r="M190" i="1"/>
  <c r="N190" i="1"/>
  <c r="L191" i="1"/>
  <c r="M191" i="1"/>
  <c r="N191" i="1"/>
  <c r="L192" i="1"/>
  <c r="M192" i="1"/>
  <c r="N192" i="1"/>
  <c r="L193" i="1"/>
  <c r="M193" i="1"/>
  <c r="N193" i="1"/>
  <c r="L194" i="1"/>
  <c r="M194" i="1"/>
  <c r="N194" i="1"/>
  <c r="L195" i="1"/>
  <c r="M195" i="1"/>
  <c r="N195" i="1"/>
  <c r="L196" i="1"/>
  <c r="M196" i="1"/>
  <c r="N196" i="1"/>
  <c r="L197" i="1"/>
  <c r="M197" i="1"/>
  <c r="N197" i="1"/>
  <c r="L198" i="1"/>
  <c r="M198" i="1"/>
  <c r="N198" i="1"/>
  <c r="L199" i="1"/>
  <c r="M199" i="1"/>
  <c r="N199" i="1"/>
  <c r="L200" i="1"/>
  <c r="M200" i="1"/>
  <c r="N200" i="1"/>
  <c r="L201" i="1"/>
  <c r="M201" i="1"/>
  <c r="N201" i="1"/>
  <c r="L202" i="1"/>
  <c r="M202" i="1"/>
  <c r="N202" i="1"/>
  <c r="L203" i="1"/>
  <c r="M203" i="1"/>
  <c r="N203" i="1"/>
  <c r="L204" i="1"/>
  <c r="M204" i="1"/>
  <c r="N204" i="1"/>
  <c r="O204" i="1" s="1"/>
  <c r="L205" i="1"/>
  <c r="M205" i="1"/>
  <c r="N205" i="1"/>
  <c r="L206" i="1"/>
  <c r="M206" i="1"/>
  <c r="N206" i="1"/>
  <c r="L207" i="1"/>
  <c r="M207" i="1"/>
  <c r="N207" i="1"/>
  <c r="L208" i="1"/>
  <c r="M208" i="1"/>
  <c r="N208" i="1"/>
  <c r="L209" i="1"/>
  <c r="M209" i="1"/>
  <c r="N209" i="1"/>
  <c r="L210" i="1"/>
  <c r="M210" i="1"/>
  <c r="N210" i="1"/>
  <c r="L211" i="1"/>
  <c r="M211" i="1"/>
  <c r="N211" i="1"/>
  <c r="L212" i="1"/>
  <c r="M212" i="1"/>
  <c r="N212" i="1"/>
  <c r="L213" i="1"/>
  <c r="M213" i="1"/>
  <c r="N213" i="1"/>
  <c r="L214" i="1"/>
  <c r="M214" i="1"/>
  <c r="N214" i="1"/>
  <c r="L215" i="1"/>
  <c r="M215" i="1"/>
  <c r="N215" i="1"/>
  <c r="L216" i="1"/>
  <c r="M216" i="1"/>
  <c r="N216" i="1"/>
  <c r="L217" i="1"/>
  <c r="M217" i="1"/>
  <c r="N217" i="1"/>
  <c r="O217" i="1" s="1"/>
  <c r="L218" i="1"/>
  <c r="M218" i="1"/>
  <c r="N218" i="1"/>
  <c r="L219" i="1"/>
  <c r="M219" i="1"/>
  <c r="N219" i="1"/>
  <c r="L220" i="1"/>
  <c r="M220" i="1"/>
  <c r="N220" i="1"/>
  <c r="L221" i="1"/>
  <c r="M221" i="1"/>
  <c r="N221" i="1"/>
  <c r="L222" i="1"/>
  <c r="M222" i="1"/>
  <c r="N222" i="1"/>
  <c r="L223" i="1"/>
  <c r="M223" i="1"/>
  <c r="N223" i="1"/>
  <c r="L224" i="1"/>
  <c r="M224" i="1"/>
  <c r="N224" i="1"/>
  <c r="L225" i="1"/>
  <c r="M225" i="1"/>
  <c r="N225" i="1"/>
  <c r="L226" i="1"/>
  <c r="M226" i="1"/>
  <c r="N226" i="1"/>
  <c r="L227" i="1"/>
  <c r="M227" i="1"/>
  <c r="N227" i="1"/>
  <c r="L228" i="1"/>
  <c r="M228" i="1"/>
  <c r="N228" i="1"/>
  <c r="L229" i="1"/>
  <c r="M229" i="1"/>
  <c r="N229" i="1"/>
  <c r="L230" i="1"/>
  <c r="M230" i="1"/>
  <c r="N230" i="1"/>
  <c r="L231" i="1"/>
  <c r="M231" i="1"/>
  <c r="N231" i="1"/>
  <c r="L232" i="1"/>
  <c r="M232" i="1"/>
  <c r="N232" i="1"/>
  <c r="L233" i="1"/>
  <c r="M233" i="1"/>
  <c r="N233" i="1"/>
  <c r="L234" i="1"/>
  <c r="M234" i="1"/>
  <c r="N234" i="1"/>
  <c r="L235" i="1"/>
  <c r="M235" i="1"/>
  <c r="N235" i="1"/>
  <c r="L236" i="1"/>
  <c r="M236" i="1"/>
  <c r="N236" i="1"/>
  <c r="L237" i="1"/>
  <c r="M237" i="1"/>
  <c r="N237" i="1"/>
  <c r="L238" i="1"/>
  <c r="M238" i="1"/>
  <c r="N238" i="1"/>
  <c r="L239" i="1"/>
  <c r="M239" i="1"/>
  <c r="N239" i="1"/>
  <c r="L240" i="1"/>
  <c r="M240" i="1"/>
  <c r="N240" i="1"/>
  <c r="O240" i="1" s="1"/>
  <c r="L241" i="1"/>
  <c r="M241" i="1"/>
  <c r="N241" i="1"/>
  <c r="L242" i="1"/>
  <c r="M242" i="1"/>
  <c r="N242" i="1"/>
  <c r="L243" i="1"/>
  <c r="M243" i="1"/>
  <c r="N243" i="1"/>
  <c r="L244" i="1"/>
  <c r="O244" i="1" s="1"/>
  <c r="M244" i="1"/>
  <c r="N244" i="1"/>
  <c r="L245" i="1"/>
  <c r="M245" i="1"/>
  <c r="N245" i="1"/>
  <c r="L246" i="1"/>
  <c r="M246" i="1"/>
  <c r="N246" i="1"/>
  <c r="N4" i="1"/>
  <c r="M4" i="1"/>
  <c r="L4" i="1"/>
  <c r="N3" i="1"/>
  <c r="M3" i="1"/>
  <c r="L3" i="1"/>
  <c r="K4" i="1"/>
  <c r="K5" i="1"/>
  <c r="K6" i="1"/>
  <c r="K7" i="1"/>
  <c r="K8" i="1"/>
  <c r="K9" i="1"/>
  <c r="K10" i="1"/>
  <c r="K11" i="1"/>
  <c r="K12" i="1"/>
  <c r="K13" i="1"/>
  <c r="K14" i="1"/>
  <c r="P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P168" i="1" s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3" i="1"/>
  <c r="D4" i="1"/>
  <c r="P4" i="1" s="1"/>
  <c r="D5" i="1"/>
  <c r="P5" i="1" s="1"/>
  <c r="D6" i="1"/>
  <c r="T6" i="1" s="1"/>
  <c r="D7" i="1"/>
  <c r="P7" i="1" s="1"/>
  <c r="D8" i="1"/>
  <c r="T8" i="1" s="1"/>
  <c r="D9" i="1"/>
  <c r="P9" i="1" s="1"/>
  <c r="D10" i="1"/>
  <c r="T10" i="1" s="1"/>
  <c r="D11" i="1"/>
  <c r="D12" i="1"/>
  <c r="P12" i="1" s="1"/>
  <c r="D13" i="1"/>
  <c r="D14" i="1"/>
  <c r="D15" i="1"/>
  <c r="D16" i="1"/>
  <c r="P16" i="1" s="1"/>
  <c r="D17" i="1"/>
  <c r="P17" i="1" s="1"/>
  <c r="D18" i="1"/>
  <c r="T18" i="1" s="1"/>
  <c r="D19" i="1"/>
  <c r="P19" i="1" s="1"/>
  <c r="D20" i="1"/>
  <c r="T20" i="1" s="1"/>
  <c r="D21" i="1"/>
  <c r="P21" i="1" s="1"/>
  <c r="D22" i="1"/>
  <c r="T22" i="1" s="1"/>
  <c r="D23" i="1"/>
  <c r="P23" i="1" s="1"/>
  <c r="D24" i="1"/>
  <c r="P24" i="1" s="1"/>
  <c r="D25" i="1"/>
  <c r="D26" i="1"/>
  <c r="D27" i="1"/>
  <c r="D28" i="1"/>
  <c r="P28" i="1" s="1"/>
  <c r="D29" i="1"/>
  <c r="P29" i="1" s="1"/>
  <c r="D30" i="1"/>
  <c r="T30" i="1" s="1"/>
  <c r="D31" i="1"/>
  <c r="P31" i="1" s="1"/>
  <c r="D32" i="1"/>
  <c r="T32" i="1" s="1"/>
  <c r="D33" i="1"/>
  <c r="P33" i="1" s="1"/>
  <c r="D34" i="1"/>
  <c r="T34" i="1" s="1"/>
  <c r="D35" i="1"/>
  <c r="D36" i="1"/>
  <c r="D37" i="1"/>
  <c r="T37" i="1" s="1"/>
  <c r="D38" i="1"/>
  <c r="T38" i="1" s="1"/>
  <c r="D39" i="1"/>
  <c r="T39" i="1" s="1"/>
  <c r="D40" i="1"/>
  <c r="P40" i="1" s="1"/>
  <c r="D41" i="1"/>
  <c r="P41" i="1" s="1"/>
  <c r="D42" i="1"/>
  <c r="T42" i="1" s="1"/>
  <c r="D43" i="1"/>
  <c r="P43" i="1" s="1"/>
  <c r="D44" i="1"/>
  <c r="T44" i="1" s="1"/>
  <c r="D45" i="1"/>
  <c r="P45" i="1" s="1"/>
  <c r="D46" i="1"/>
  <c r="T46" i="1" s="1"/>
  <c r="D47" i="1"/>
  <c r="D48" i="1"/>
  <c r="D49" i="1"/>
  <c r="T49" i="1" s="1"/>
  <c r="D50" i="1"/>
  <c r="T50" i="1" s="1"/>
  <c r="D51" i="1"/>
  <c r="T51" i="1" s="1"/>
  <c r="D52" i="1"/>
  <c r="P52" i="1" s="1"/>
  <c r="D53" i="1"/>
  <c r="P53" i="1" s="1"/>
  <c r="D54" i="1"/>
  <c r="T54" i="1" s="1"/>
  <c r="D55" i="1"/>
  <c r="P55" i="1" s="1"/>
  <c r="D56" i="1"/>
  <c r="T56" i="1" s="1"/>
  <c r="D57" i="1"/>
  <c r="P57" i="1" s="1"/>
  <c r="D58" i="1"/>
  <c r="T58" i="1" s="1"/>
  <c r="D59" i="1"/>
  <c r="T59" i="1" s="1"/>
  <c r="D60" i="1"/>
  <c r="D61" i="1"/>
  <c r="T61" i="1" s="1"/>
  <c r="D62" i="1"/>
  <c r="T62" i="1" s="1"/>
  <c r="D63" i="1"/>
  <c r="T63" i="1" s="1"/>
  <c r="D64" i="1"/>
  <c r="P64" i="1" s="1"/>
  <c r="D65" i="1"/>
  <c r="P65" i="1" s="1"/>
  <c r="D66" i="1"/>
  <c r="T66" i="1" s="1"/>
  <c r="D67" i="1"/>
  <c r="P67" i="1" s="1"/>
  <c r="D68" i="1"/>
  <c r="T68" i="1" s="1"/>
  <c r="D69" i="1"/>
  <c r="T69" i="1" s="1"/>
  <c r="D70" i="1"/>
  <c r="T70" i="1" s="1"/>
  <c r="D71" i="1"/>
  <c r="T71" i="1" s="1"/>
  <c r="D72" i="1"/>
  <c r="D73" i="1"/>
  <c r="T73" i="1" s="1"/>
  <c r="D74" i="1"/>
  <c r="T74" i="1" s="1"/>
  <c r="D75" i="1"/>
  <c r="T75" i="1" s="1"/>
  <c r="D76" i="1"/>
  <c r="P76" i="1" s="1"/>
  <c r="D77" i="1"/>
  <c r="D78" i="1"/>
  <c r="T78" i="1" s="1"/>
  <c r="D79" i="1"/>
  <c r="D80" i="1"/>
  <c r="T80" i="1" s="1"/>
  <c r="D81" i="1"/>
  <c r="T81" i="1" s="1"/>
  <c r="D82" i="1"/>
  <c r="D83" i="1"/>
  <c r="T83" i="1" s="1"/>
  <c r="D84" i="1"/>
  <c r="D85" i="1"/>
  <c r="D86" i="1"/>
  <c r="T86" i="1" s="1"/>
  <c r="D87" i="1"/>
  <c r="T87" i="1" s="1"/>
  <c r="D88" i="1"/>
  <c r="D89" i="1"/>
  <c r="P89" i="1" s="1"/>
  <c r="D90" i="1"/>
  <c r="T90" i="1" s="1"/>
  <c r="D91" i="1"/>
  <c r="T91" i="1" s="1"/>
  <c r="D92" i="1"/>
  <c r="T92" i="1" s="1"/>
  <c r="D93" i="1"/>
  <c r="D94" i="1"/>
  <c r="T94" i="1" s="1"/>
  <c r="D95" i="1"/>
  <c r="D96" i="1"/>
  <c r="D97" i="1"/>
  <c r="D98" i="1"/>
  <c r="T98" i="1" s="1"/>
  <c r="D99" i="1"/>
  <c r="T99" i="1" s="1"/>
  <c r="D100" i="1"/>
  <c r="D101" i="1"/>
  <c r="D102" i="1"/>
  <c r="T102" i="1" s="1"/>
  <c r="D103" i="1"/>
  <c r="D104" i="1"/>
  <c r="T104" i="1" s="1"/>
  <c r="D105" i="1"/>
  <c r="D106" i="1"/>
  <c r="T106" i="1" s="1"/>
  <c r="D107" i="1"/>
  <c r="T107" i="1" s="1"/>
  <c r="D108" i="1"/>
  <c r="D109" i="1"/>
  <c r="T109" i="1" s="1"/>
  <c r="D110" i="1"/>
  <c r="T110" i="1" s="1"/>
  <c r="D111" i="1"/>
  <c r="T111" i="1" s="1"/>
  <c r="D112" i="1"/>
  <c r="D113" i="1"/>
  <c r="T113" i="1" s="1"/>
  <c r="D114" i="1"/>
  <c r="T114" i="1" s="1"/>
  <c r="D115" i="1"/>
  <c r="D116" i="1"/>
  <c r="T116" i="1" s="1"/>
  <c r="D117" i="1"/>
  <c r="D118" i="1"/>
  <c r="T118" i="1" s="1"/>
  <c r="D119" i="1"/>
  <c r="D120" i="1"/>
  <c r="D121" i="1"/>
  <c r="T121" i="1" s="1"/>
  <c r="D122" i="1"/>
  <c r="T122" i="1" s="1"/>
  <c r="D123" i="1"/>
  <c r="T123" i="1" s="1"/>
  <c r="D124" i="1"/>
  <c r="D125" i="1"/>
  <c r="D126" i="1"/>
  <c r="T126" i="1" s="1"/>
  <c r="D127" i="1"/>
  <c r="D128" i="1"/>
  <c r="T128" i="1" s="1"/>
  <c r="D129" i="1"/>
  <c r="D130" i="1"/>
  <c r="T130" i="1" s="1"/>
  <c r="D131" i="1"/>
  <c r="T131" i="1" s="1"/>
  <c r="D132" i="1"/>
  <c r="D133" i="1"/>
  <c r="T133" i="1" s="1"/>
  <c r="D134" i="1"/>
  <c r="T134" i="1" s="1"/>
  <c r="D135" i="1"/>
  <c r="T135" i="1" s="1"/>
  <c r="D136" i="1"/>
  <c r="D137" i="1"/>
  <c r="T137" i="1" s="1"/>
  <c r="D138" i="1"/>
  <c r="T138" i="1" s="1"/>
  <c r="D139" i="1"/>
  <c r="D140" i="1"/>
  <c r="T140" i="1" s="1"/>
  <c r="D141" i="1"/>
  <c r="D142" i="1"/>
  <c r="T142" i="1" s="1"/>
  <c r="D143" i="1"/>
  <c r="D144" i="1"/>
  <c r="D145" i="1"/>
  <c r="T145" i="1" s="1"/>
  <c r="D146" i="1"/>
  <c r="T146" i="1" s="1"/>
  <c r="D147" i="1"/>
  <c r="T147" i="1" s="1"/>
  <c r="D148" i="1"/>
  <c r="D149" i="1"/>
  <c r="D150" i="1"/>
  <c r="D151" i="1"/>
  <c r="D152" i="1"/>
  <c r="T152" i="1" s="1"/>
  <c r="D153" i="1"/>
  <c r="D154" i="1"/>
  <c r="T154" i="1" s="1"/>
  <c r="D155" i="1"/>
  <c r="T155" i="1" s="1"/>
  <c r="D156" i="1"/>
  <c r="D157" i="1"/>
  <c r="T157" i="1" s="1"/>
  <c r="D158" i="1"/>
  <c r="T158" i="1" s="1"/>
  <c r="D159" i="1"/>
  <c r="T159" i="1" s="1"/>
  <c r="D160" i="1"/>
  <c r="D161" i="1"/>
  <c r="P161" i="1" s="1"/>
  <c r="D162" i="1"/>
  <c r="T162" i="1" s="1"/>
  <c r="D163" i="1"/>
  <c r="P163" i="1" s="1"/>
  <c r="D164" i="1"/>
  <c r="T164" i="1" s="1"/>
  <c r="D165" i="1"/>
  <c r="D166" i="1"/>
  <c r="T166" i="1" s="1"/>
  <c r="D167" i="1"/>
  <c r="T167" i="1" s="1"/>
  <c r="D168" i="1"/>
  <c r="T168" i="1" s="1"/>
  <c r="D169" i="1"/>
  <c r="T169" i="1" s="1"/>
  <c r="D170" i="1"/>
  <c r="T170" i="1" s="1"/>
  <c r="D171" i="1"/>
  <c r="T171" i="1" s="1"/>
  <c r="D172" i="1"/>
  <c r="P172" i="1" s="1"/>
  <c r="D173" i="1"/>
  <c r="D174" i="1"/>
  <c r="T174" i="1" s="1"/>
  <c r="D175" i="1"/>
  <c r="D176" i="1"/>
  <c r="T176" i="1" s="1"/>
  <c r="D177" i="1"/>
  <c r="D178" i="1"/>
  <c r="T178" i="1" s="1"/>
  <c r="D179" i="1"/>
  <c r="T179" i="1" s="1"/>
  <c r="D180" i="1"/>
  <c r="D181" i="1"/>
  <c r="T181" i="1" s="1"/>
  <c r="D182" i="1"/>
  <c r="T182" i="1" s="1"/>
  <c r="D183" i="1"/>
  <c r="T183" i="1" s="1"/>
  <c r="D184" i="1"/>
  <c r="D185" i="1"/>
  <c r="D186" i="1"/>
  <c r="T186" i="1" s="1"/>
  <c r="D187" i="1"/>
  <c r="D188" i="1"/>
  <c r="T188" i="1" s="1"/>
  <c r="D189" i="1"/>
  <c r="D190" i="1"/>
  <c r="T190" i="1" s="1"/>
  <c r="D191" i="1"/>
  <c r="T191" i="1" s="1"/>
  <c r="D192" i="1"/>
  <c r="D193" i="1"/>
  <c r="D194" i="1"/>
  <c r="T194" i="1" s="1"/>
  <c r="D195" i="1"/>
  <c r="T195" i="1" s="1"/>
  <c r="D196" i="1"/>
  <c r="D197" i="1"/>
  <c r="D198" i="1"/>
  <c r="T198" i="1" s="1"/>
  <c r="D199" i="1"/>
  <c r="D200" i="1"/>
  <c r="T200" i="1" s="1"/>
  <c r="D201" i="1"/>
  <c r="D202" i="1"/>
  <c r="T202" i="1" s="1"/>
  <c r="D203" i="1"/>
  <c r="T203" i="1" s="1"/>
  <c r="D204" i="1"/>
  <c r="D205" i="1"/>
  <c r="T205" i="1" s="1"/>
  <c r="D206" i="1"/>
  <c r="T206" i="1" s="1"/>
  <c r="D207" i="1"/>
  <c r="T207" i="1" s="1"/>
  <c r="D208" i="1"/>
  <c r="D209" i="1"/>
  <c r="D210" i="1"/>
  <c r="T210" i="1" s="1"/>
  <c r="D211" i="1"/>
  <c r="D212" i="1"/>
  <c r="T212" i="1" s="1"/>
  <c r="D213" i="1"/>
  <c r="P213" i="1" s="1"/>
  <c r="D214" i="1"/>
  <c r="T214" i="1" s="1"/>
  <c r="D215" i="1"/>
  <c r="T215" i="1" s="1"/>
  <c r="D216" i="1"/>
  <c r="T216" i="1" s="1"/>
  <c r="D217" i="1"/>
  <c r="T217" i="1" s="1"/>
  <c r="D218" i="1"/>
  <c r="T218" i="1" s="1"/>
  <c r="D219" i="1"/>
  <c r="T219" i="1" s="1"/>
  <c r="D220" i="1"/>
  <c r="D221" i="1"/>
  <c r="D222" i="1"/>
  <c r="T222" i="1" s="1"/>
  <c r="D223" i="1"/>
  <c r="D224" i="1"/>
  <c r="T224" i="1" s="1"/>
  <c r="D225" i="1"/>
  <c r="D226" i="1"/>
  <c r="T226" i="1" s="1"/>
  <c r="D227" i="1"/>
  <c r="D228" i="1"/>
  <c r="T228" i="1" s="1"/>
  <c r="D229" i="1"/>
  <c r="T229" i="1" s="1"/>
  <c r="D230" i="1"/>
  <c r="T230" i="1" s="1"/>
  <c r="D231" i="1"/>
  <c r="T231" i="1" s="1"/>
  <c r="D232" i="1"/>
  <c r="D233" i="1"/>
  <c r="D234" i="1"/>
  <c r="T234" i="1" s="1"/>
  <c r="D235" i="1"/>
  <c r="D236" i="1"/>
  <c r="T236" i="1" s="1"/>
  <c r="D237" i="1"/>
  <c r="D238" i="1"/>
  <c r="T238" i="1" s="1"/>
  <c r="D239" i="1"/>
  <c r="D240" i="1"/>
  <c r="D241" i="1"/>
  <c r="D242" i="1"/>
  <c r="T242" i="1" s="1"/>
  <c r="D243" i="1"/>
  <c r="T243" i="1" s="1"/>
  <c r="D244" i="1"/>
  <c r="D245" i="1"/>
  <c r="D246" i="1"/>
  <c r="T246" i="1" s="1"/>
  <c r="G5" i="1"/>
  <c r="F3" i="1"/>
  <c r="E3" i="1"/>
  <c r="G3" i="1" s="1"/>
  <c r="E4" i="1"/>
  <c r="F4" i="1"/>
  <c r="G4" i="1" s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G21" i="1" s="1"/>
  <c r="E22" i="1"/>
  <c r="F22" i="1"/>
  <c r="E23" i="1"/>
  <c r="F23" i="1"/>
  <c r="E24" i="1"/>
  <c r="F24" i="1"/>
  <c r="E25" i="1"/>
  <c r="F25" i="1"/>
  <c r="E26" i="1"/>
  <c r="F26" i="1"/>
  <c r="E27" i="1"/>
  <c r="G27" i="1" s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G34" i="1" s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E57" i="1"/>
  <c r="F57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E69" i="1"/>
  <c r="F69" i="1"/>
  <c r="G69" i="1" s="1"/>
  <c r="E70" i="1"/>
  <c r="F70" i="1"/>
  <c r="E71" i="1"/>
  <c r="F71" i="1"/>
  <c r="E72" i="1"/>
  <c r="F72" i="1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G134" i="1" s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G158" i="1" s="1"/>
  <c r="E159" i="1"/>
  <c r="F159" i="1"/>
  <c r="G159" i="1" s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G206" i="1" s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G241" i="1" s="1"/>
  <c r="E242" i="1"/>
  <c r="F242" i="1"/>
  <c r="E243" i="1"/>
  <c r="F243" i="1"/>
  <c r="E244" i="1"/>
  <c r="F244" i="1"/>
  <c r="E245" i="1"/>
  <c r="F245" i="1"/>
  <c r="E246" i="1"/>
  <c r="F246" i="1"/>
  <c r="D3" i="1"/>
  <c r="P3" i="1" s="1"/>
  <c r="O58" i="1" l="1"/>
  <c r="O176" i="1"/>
  <c r="P10" i="1"/>
  <c r="O147" i="1"/>
  <c r="O99" i="1"/>
  <c r="O28" i="1"/>
  <c r="O16" i="1"/>
  <c r="O12" i="1"/>
  <c r="P113" i="1"/>
  <c r="T65" i="1"/>
  <c r="T21" i="1"/>
  <c r="T9" i="1"/>
  <c r="G45" i="1"/>
  <c r="P241" i="1"/>
  <c r="P97" i="1"/>
  <c r="P204" i="1"/>
  <c r="P192" i="1"/>
  <c r="P144" i="1"/>
  <c r="P132" i="1"/>
  <c r="T31" i="1"/>
  <c r="T19" i="1"/>
  <c r="T7" i="1"/>
  <c r="G33" i="1"/>
  <c r="O81" i="1"/>
  <c r="O22" i="1"/>
  <c r="O14" i="1"/>
  <c r="G229" i="1"/>
  <c r="G49" i="1"/>
  <c r="O243" i="1"/>
  <c r="O223" i="1"/>
  <c r="O3" i="1"/>
  <c r="O70" i="1"/>
  <c r="O66" i="1"/>
  <c r="O42" i="1"/>
  <c r="P240" i="1"/>
  <c r="O238" i="1"/>
  <c r="P237" i="1"/>
  <c r="P245" i="1"/>
  <c r="P233" i="1"/>
  <c r="P244" i="1"/>
  <c r="O236" i="1"/>
  <c r="T244" i="1"/>
  <c r="T241" i="1"/>
  <c r="T240" i="1"/>
  <c r="G243" i="1"/>
  <c r="G225" i="1"/>
  <c r="O196" i="1"/>
  <c r="P193" i="1"/>
  <c r="P197" i="1"/>
  <c r="O208" i="1"/>
  <c r="P208" i="1"/>
  <c r="T204" i="1"/>
  <c r="T197" i="1"/>
  <c r="P156" i="1"/>
  <c r="O174" i="1"/>
  <c r="P177" i="1"/>
  <c r="O181" i="1"/>
  <c r="O158" i="1"/>
  <c r="P180" i="1"/>
  <c r="O159" i="1"/>
  <c r="O178" i="1"/>
  <c r="T180" i="1"/>
  <c r="T177" i="1"/>
  <c r="T172" i="1"/>
  <c r="T161" i="1"/>
  <c r="P129" i="1"/>
  <c r="O154" i="1"/>
  <c r="O138" i="1"/>
  <c r="O130" i="1"/>
  <c r="O126" i="1"/>
  <c r="O146" i="1"/>
  <c r="P127" i="1"/>
  <c r="O153" i="1"/>
  <c r="P149" i="1"/>
  <c r="O125" i="1"/>
  <c r="P137" i="1"/>
  <c r="O121" i="1"/>
  <c r="P124" i="1"/>
  <c r="P112" i="1"/>
  <c r="O97" i="1"/>
  <c r="O112" i="1"/>
  <c r="O108" i="1"/>
  <c r="P108" i="1"/>
  <c r="P96" i="1"/>
  <c r="G123" i="1"/>
  <c r="P106" i="1"/>
  <c r="T108" i="1"/>
  <c r="P84" i="1"/>
  <c r="P81" i="1"/>
  <c r="O64" i="1"/>
  <c r="O80" i="1"/>
  <c r="P93" i="1"/>
  <c r="P69" i="1"/>
  <c r="O69" i="1"/>
  <c r="P153" i="1"/>
  <c r="T153" i="1"/>
  <c r="P141" i="1"/>
  <c r="T141" i="1"/>
  <c r="P117" i="1"/>
  <c r="T117" i="1"/>
  <c r="P223" i="1"/>
  <c r="T223" i="1"/>
  <c r="T237" i="1"/>
  <c r="T124" i="1"/>
  <c r="T129" i="1"/>
  <c r="T209" i="1"/>
  <c r="P209" i="1"/>
  <c r="P185" i="1"/>
  <c r="T185" i="1"/>
  <c r="P101" i="1"/>
  <c r="T101" i="1"/>
  <c r="T213" i="1"/>
  <c r="P220" i="1"/>
  <c r="T220" i="1"/>
  <c r="P196" i="1"/>
  <c r="T196" i="1"/>
  <c r="P160" i="1"/>
  <c r="T160" i="1"/>
  <c r="P148" i="1"/>
  <c r="T148" i="1"/>
  <c r="P100" i="1"/>
  <c r="T100" i="1"/>
  <c r="P225" i="1"/>
  <c r="T225" i="1"/>
  <c r="P201" i="1"/>
  <c r="T201" i="1"/>
  <c r="P189" i="1"/>
  <c r="T189" i="1"/>
  <c r="P165" i="1"/>
  <c r="T165" i="1"/>
  <c r="P105" i="1"/>
  <c r="T105" i="1"/>
  <c r="G109" i="1"/>
  <c r="P182" i="1"/>
  <c r="P134" i="1"/>
  <c r="P216" i="1"/>
  <c r="T193" i="1"/>
  <c r="P191" i="1"/>
  <c r="G141" i="1"/>
  <c r="G129" i="1"/>
  <c r="G117" i="1"/>
  <c r="G111" i="1"/>
  <c r="P130" i="1"/>
  <c r="P94" i="1"/>
  <c r="P190" i="1"/>
  <c r="T144" i="1"/>
  <c r="T76" i="1"/>
  <c r="T93" i="1"/>
  <c r="T89" i="1"/>
  <c r="T64" i="1"/>
  <c r="O45" i="1"/>
  <c r="P48" i="1"/>
  <c r="P47" i="1"/>
  <c r="O36" i="1"/>
  <c r="O55" i="1"/>
  <c r="O53" i="1"/>
  <c r="O33" i="1"/>
  <c r="P60" i="1"/>
  <c r="P36" i="1"/>
  <c r="P35" i="1"/>
  <c r="O48" i="1"/>
  <c r="G207" i="1"/>
  <c r="G177" i="1"/>
  <c r="G171" i="1"/>
  <c r="G99" i="1"/>
  <c r="G81" i="1"/>
  <c r="P235" i="1"/>
  <c r="T235" i="1"/>
  <c r="P211" i="1"/>
  <c r="T211" i="1"/>
  <c r="P199" i="1"/>
  <c r="T199" i="1"/>
  <c r="P187" i="1"/>
  <c r="T187" i="1"/>
  <c r="P175" i="1"/>
  <c r="T175" i="1"/>
  <c r="P151" i="1"/>
  <c r="T151" i="1"/>
  <c r="P115" i="1"/>
  <c r="T115" i="1"/>
  <c r="P103" i="1"/>
  <c r="T103" i="1"/>
  <c r="P79" i="1"/>
  <c r="T79" i="1"/>
  <c r="T163" i="1"/>
  <c r="P150" i="1"/>
  <c r="T150" i="1"/>
  <c r="T127" i="1"/>
  <c r="G110" i="1"/>
  <c r="T67" i="1"/>
  <c r="P215" i="1"/>
  <c r="P91" i="1"/>
  <c r="P139" i="1"/>
  <c r="T139" i="1"/>
  <c r="T227" i="1"/>
  <c r="P227" i="1"/>
  <c r="P119" i="1"/>
  <c r="T119" i="1"/>
  <c r="P95" i="1"/>
  <c r="T95" i="1"/>
  <c r="T82" i="1"/>
  <c r="P82" i="1"/>
  <c r="P239" i="1"/>
  <c r="T239" i="1"/>
  <c r="T143" i="1"/>
  <c r="P143" i="1"/>
  <c r="G194" i="1"/>
  <c r="T221" i="1"/>
  <c r="P221" i="1"/>
  <c r="P173" i="1"/>
  <c r="T173" i="1"/>
  <c r="P125" i="1"/>
  <c r="T125" i="1"/>
  <c r="P77" i="1"/>
  <c r="T77" i="1"/>
  <c r="G205" i="1"/>
  <c r="P232" i="1"/>
  <c r="T232" i="1"/>
  <c r="P184" i="1"/>
  <c r="T184" i="1"/>
  <c r="P136" i="1"/>
  <c r="T136" i="1"/>
  <c r="P88" i="1"/>
  <c r="T88" i="1"/>
  <c r="P169" i="1"/>
  <c r="T233" i="1"/>
  <c r="T156" i="1"/>
  <c r="P228" i="1"/>
  <c r="T132" i="1"/>
  <c r="G65" i="1"/>
  <c r="P120" i="1"/>
  <c r="T120" i="1"/>
  <c r="P72" i="1"/>
  <c r="T72" i="1"/>
  <c r="T245" i="1"/>
  <c r="T208" i="1"/>
  <c r="T149" i="1"/>
  <c r="T112" i="1"/>
  <c r="T60" i="1"/>
  <c r="T48" i="1"/>
  <c r="T36" i="1"/>
  <c r="T47" i="1"/>
  <c r="T45" i="1"/>
  <c r="P58" i="1"/>
  <c r="P54" i="1"/>
  <c r="T55" i="1"/>
  <c r="T43" i="1"/>
  <c r="P34" i="1"/>
  <c r="T53" i="1"/>
  <c r="T41" i="1"/>
  <c r="T35" i="1"/>
  <c r="T57" i="1"/>
  <c r="T33" i="1"/>
  <c r="T52" i="1"/>
  <c r="T40" i="1"/>
  <c r="N20" i="2"/>
  <c r="J20" i="2"/>
  <c r="G26" i="2"/>
  <c r="N18" i="2"/>
  <c r="J18" i="2"/>
  <c r="N24" i="2"/>
  <c r="J24" i="2"/>
  <c r="N27" i="2"/>
  <c r="J27" i="2"/>
  <c r="N30" i="2"/>
  <c r="J30" i="2"/>
  <c r="N4" i="2"/>
  <c r="J4" i="2"/>
  <c r="N10" i="2"/>
  <c r="J10" i="2"/>
  <c r="N19" i="2"/>
  <c r="J19" i="2"/>
  <c r="N2" i="2"/>
  <c r="J2" i="2"/>
  <c r="N8" i="2"/>
  <c r="J8" i="2"/>
  <c r="N13" i="2"/>
  <c r="N3" i="2"/>
  <c r="N6" i="2"/>
  <c r="N11" i="2"/>
  <c r="G20" i="2"/>
  <c r="G31" i="2"/>
  <c r="G15" i="2"/>
  <c r="G18" i="2"/>
  <c r="G21" i="2"/>
  <c r="N23" i="2"/>
  <c r="N25" i="2"/>
  <c r="N12" i="2"/>
  <c r="G12" i="2"/>
  <c r="G5" i="2"/>
  <c r="N5" i="2"/>
  <c r="G11" i="2"/>
  <c r="G27" i="2"/>
  <c r="G6" i="2"/>
  <c r="N17" i="2"/>
  <c r="N29" i="2"/>
  <c r="G22" i="2"/>
  <c r="G10" i="2"/>
  <c r="G7" i="2"/>
  <c r="N28" i="2"/>
  <c r="G14" i="2"/>
  <c r="G24" i="2"/>
  <c r="G17" i="2"/>
  <c r="G19" i="2"/>
  <c r="N22" i="2"/>
  <c r="N7" i="2"/>
  <c r="N15" i="2"/>
  <c r="N31" i="2"/>
  <c r="N9" i="2"/>
  <c r="G25" i="2"/>
  <c r="N14" i="2"/>
  <c r="N26" i="2"/>
  <c r="N21" i="2"/>
  <c r="N16" i="2"/>
  <c r="G16" i="2"/>
  <c r="G23" i="2"/>
  <c r="G4" i="2"/>
  <c r="G28" i="2"/>
  <c r="P243" i="1"/>
  <c r="P207" i="1"/>
  <c r="P195" i="1"/>
  <c r="P183" i="1"/>
  <c r="P171" i="1"/>
  <c r="P159" i="1"/>
  <c r="P147" i="1"/>
  <c r="P135" i="1"/>
  <c r="P123" i="1"/>
  <c r="P111" i="1"/>
  <c r="P99" i="1"/>
  <c r="P87" i="1"/>
  <c r="P75" i="1"/>
  <c r="P63" i="1"/>
  <c r="P51" i="1"/>
  <c r="P39" i="1"/>
  <c r="P27" i="1"/>
  <c r="P15" i="1"/>
  <c r="O164" i="1"/>
  <c r="P219" i="1"/>
  <c r="O160" i="1"/>
  <c r="O156" i="1"/>
  <c r="P231" i="1"/>
  <c r="G244" i="1"/>
  <c r="G238" i="1"/>
  <c r="G226" i="1"/>
  <c r="G220" i="1"/>
  <c r="G214" i="1"/>
  <c r="G208" i="1"/>
  <c r="G196" i="1"/>
  <c r="G190" i="1"/>
  <c r="G178" i="1"/>
  <c r="G172" i="1"/>
  <c r="G166" i="1"/>
  <c r="G160" i="1"/>
  <c r="G148" i="1"/>
  <c r="G142" i="1"/>
  <c r="G130" i="1"/>
  <c r="G124" i="1"/>
  <c r="G118" i="1"/>
  <c r="G112" i="1"/>
  <c r="G100" i="1"/>
  <c r="G94" i="1"/>
  <c r="G82" i="1"/>
  <c r="G76" i="1"/>
  <c r="G70" i="1"/>
  <c r="G46" i="1"/>
  <c r="P194" i="1"/>
  <c r="O195" i="1"/>
  <c r="O183" i="1"/>
  <c r="O104" i="1"/>
  <c r="O100" i="1"/>
  <c r="G242" i="1"/>
  <c r="G182" i="1"/>
  <c r="G86" i="1"/>
  <c r="G38" i="1"/>
  <c r="O123" i="1"/>
  <c r="O225" i="1"/>
  <c r="O91" i="1"/>
  <c r="O87" i="1"/>
  <c r="O241" i="1"/>
  <c r="O237" i="1"/>
  <c r="O233" i="1"/>
  <c r="O142" i="1"/>
  <c r="O134" i="1"/>
  <c r="O122" i="1"/>
  <c r="O118" i="1"/>
  <c r="O20" i="1"/>
  <c r="P246" i="1"/>
  <c r="P234" i="1"/>
  <c r="P222" i="1"/>
  <c r="P210" i="1"/>
  <c r="P198" i="1"/>
  <c r="P186" i="1"/>
  <c r="P174" i="1"/>
  <c r="P162" i="1"/>
  <c r="P138" i="1"/>
  <c r="P126" i="1"/>
  <c r="P114" i="1"/>
  <c r="P102" i="1"/>
  <c r="P90" i="1"/>
  <c r="P78" i="1"/>
  <c r="P66" i="1"/>
  <c r="P42" i="1"/>
  <c r="P30" i="1"/>
  <c r="P18" i="1"/>
  <c r="P6" i="1"/>
  <c r="O145" i="1"/>
  <c r="O110" i="1"/>
  <c r="O98" i="1"/>
  <c r="O43" i="1"/>
  <c r="O39" i="1"/>
  <c r="O8" i="1"/>
  <c r="G237" i="1"/>
  <c r="G219" i="1"/>
  <c r="G213" i="1"/>
  <c r="G195" i="1"/>
  <c r="G189" i="1"/>
  <c r="G165" i="1"/>
  <c r="G147" i="1"/>
  <c r="G93" i="1"/>
  <c r="G75" i="1"/>
  <c r="G63" i="1"/>
  <c r="G51" i="1"/>
  <c r="G15" i="1"/>
  <c r="O219" i="1"/>
  <c r="O211" i="1"/>
  <c r="O207" i="1"/>
  <c r="O187" i="1"/>
  <c r="G133" i="1"/>
  <c r="G97" i="1"/>
  <c r="O129" i="1"/>
  <c r="O117" i="1"/>
  <c r="P229" i="1"/>
  <c r="P217" i="1"/>
  <c r="P205" i="1"/>
  <c r="P181" i="1"/>
  <c r="P157" i="1"/>
  <c r="P145" i="1"/>
  <c r="P133" i="1"/>
  <c r="P121" i="1"/>
  <c r="P109" i="1"/>
  <c r="P85" i="1"/>
  <c r="P73" i="1"/>
  <c r="P61" i="1"/>
  <c r="P49" i="1"/>
  <c r="P37" i="1"/>
  <c r="P25" i="1"/>
  <c r="P13" i="1"/>
  <c r="O4" i="1"/>
  <c r="O242" i="1"/>
  <c r="O214" i="1"/>
  <c r="O202" i="1"/>
  <c r="O136" i="1"/>
  <c r="O73" i="1"/>
  <c r="O62" i="1"/>
  <c r="O54" i="1"/>
  <c r="P242" i="1"/>
  <c r="P230" i="1"/>
  <c r="P218" i="1"/>
  <c r="P206" i="1"/>
  <c r="P170" i="1"/>
  <c r="P158" i="1"/>
  <c r="P146" i="1"/>
  <c r="P122" i="1"/>
  <c r="P110" i="1"/>
  <c r="P98" i="1"/>
  <c r="P86" i="1"/>
  <c r="P74" i="1"/>
  <c r="P62" i="1"/>
  <c r="P50" i="1"/>
  <c r="P38" i="1"/>
  <c r="P26" i="1"/>
  <c r="O175" i="1"/>
  <c r="O152" i="1"/>
  <c r="O105" i="1"/>
  <c r="O74" i="1"/>
  <c r="O31" i="1"/>
  <c r="O15" i="1"/>
  <c r="O230" i="1"/>
  <c r="O222" i="1"/>
  <c r="O218" i="1"/>
  <c r="O210" i="1"/>
  <c r="O206" i="1"/>
  <c r="O182" i="1"/>
  <c r="O96" i="1"/>
  <c r="O93" i="1"/>
  <c r="O89" i="1"/>
  <c r="O50" i="1"/>
  <c r="G64" i="1"/>
  <c r="G52" i="1"/>
  <c r="G22" i="1"/>
  <c r="G16" i="1"/>
  <c r="P236" i="1"/>
  <c r="P224" i="1"/>
  <c r="P212" i="1"/>
  <c r="P200" i="1"/>
  <c r="P188" i="1"/>
  <c r="P176" i="1"/>
  <c r="P164" i="1"/>
  <c r="P152" i="1"/>
  <c r="P140" i="1"/>
  <c r="P128" i="1"/>
  <c r="P116" i="1"/>
  <c r="P104" i="1"/>
  <c r="P92" i="1"/>
  <c r="P80" i="1"/>
  <c r="P68" i="1"/>
  <c r="P56" i="1"/>
  <c r="P44" i="1"/>
  <c r="P32" i="1"/>
  <c r="P20" i="1"/>
  <c r="P8" i="1"/>
  <c r="O76" i="1"/>
  <c r="P203" i="1"/>
  <c r="P179" i="1"/>
  <c r="P167" i="1"/>
  <c r="P155" i="1"/>
  <c r="P131" i="1"/>
  <c r="P107" i="1"/>
  <c r="P83" i="1"/>
  <c r="P71" i="1"/>
  <c r="P59" i="1"/>
  <c r="P11" i="1"/>
  <c r="O232" i="1"/>
  <c r="O228" i="1"/>
  <c r="O224" i="1"/>
  <c r="O220" i="1"/>
  <c r="O165" i="1"/>
  <c r="O139" i="1"/>
  <c r="O135" i="1"/>
  <c r="O115" i="1"/>
  <c r="O88" i="1"/>
  <c r="O84" i="1"/>
  <c r="O34" i="1"/>
  <c r="O30" i="1"/>
  <c r="O7" i="1"/>
  <c r="P226" i="1"/>
  <c r="P202" i="1"/>
  <c r="P178" i="1"/>
  <c r="P154" i="1"/>
  <c r="O200" i="1"/>
  <c r="O188" i="1"/>
  <c r="O184" i="1"/>
  <c r="O172" i="1"/>
  <c r="O168" i="1"/>
  <c r="O161" i="1"/>
  <c r="O114" i="1"/>
  <c r="O92" i="1"/>
  <c r="O229" i="1"/>
  <c r="O189" i="1"/>
  <c r="O170" i="1"/>
  <c r="O162" i="1"/>
  <c r="O78" i="1"/>
  <c r="O75" i="1"/>
  <c r="O67" i="1"/>
  <c r="O44" i="1"/>
  <c r="O24" i="1"/>
  <c r="O17" i="1"/>
  <c r="P238" i="1"/>
  <c r="P214" i="1"/>
  <c r="P166" i="1"/>
  <c r="P142" i="1"/>
  <c r="P118" i="1"/>
  <c r="P70" i="1"/>
  <c r="P46" i="1"/>
  <c r="P22" i="1"/>
  <c r="O205" i="1"/>
  <c r="O201" i="1"/>
  <c r="O197" i="1"/>
  <c r="O193" i="1"/>
  <c r="O150" i="1"/>
  <c r="O128" i="1"/>
  <c r="O116" i="1"/>
  <c r="O86" i="1"/>
  <c r="O51" i="1"/>
  <c r="O32" i="1"/>
  <c r="O198" i="1"/>
  <c r="O194" i="1"/>
  <c r="O141" i="1"/>
  <c r="O106" i="1"/>
  <c r="O102" i="1"/>
  <c r="O61" i="1"/>
  <c r="O57" i="1"/>
  <c r="O38" i="1"/>
  <c r="O246" i="1"/>
  <c r="O231" i="1"/>
  <c r="O216" i="1"/>
  <c r="O212" i="1"/>
  <c r="O151" i="1"/>
  <c r="O140" i="1"/>
  <c r="O124" i="1"/>
  <c r="O120" i="1"/>
  <c r="O90" i="1"/>
  <c r="O79" i="1"/>
  <c r="O56" i="1"/>
  <c r="O52" i="1"/>
  <c r="O25" i="1"/>
  <c r="O21" i="1"/>
  <c r="O68" i="1"/>
  <c r="O37" i="1"/>
  <c r="O26" i="1"/>
  <c r="O18" i="1"/>
  <c r="O6" i="1"/>
  <c r="O190" i="1"/>
  <c r="O186" i="1"/>
  <c r="O163" i="1"/>
  <c r="O46" i="1"/>
  <c r="O234" i="1"/>
  <c r="O49" i="1"/>
  <c r="O127" i="1"/>
  <c r="O157" i="1"/>
  <c r="O226" i="1"/>
  <c r="O72" i="1"/>
  <c r="O19" i="1"/>
  <c r="O192" i="1"/>
  <c r="O144" i="1"/>
  <c r="O82" i="1"/>
  <c r="O10" i="1"/>
  <c r="O199" i="1"/>
  <c r="O133" i="1"/>
  <c r="O235" i="1"/>
  <c r="O213" i="1"/>
  <c r="O180" i="1"/>
  <c r="O169" i="1"/>
  <c r="O103" i="1"/>
  <c r="O85" i="1"/>
  <c r="O13" i="1"/>
  <c r="O227" i="1"/>
  <c r="O191" i="1"/>
  <c r="O155" i="1"/>
  <c r="O119" i="1"/>
  <c r="O83" i="1"/>
  <c r="O47" i="1"/>
  <c r="O11" i="1"/>
  <c r="O239" i="1"/>
  <c r="O203" i="1"/>
  <c r="O167" i="1"/>
  <c r="O131" i="1"/>
  <c r="O95" i="1"/>
  <c r="O59" i="1"/>
  <c r="O23" i="1"/>
  <c r="O245" i="1"/>
  <c r="O209" i="1"/>
  <c r="O173" i="1"/>
  <c r="O137" i="1"/>
  <c r="O101" i="1"/>
  <c r="O65" i="1"/>
  <c r="O29" i="1"/>
  <c r="O215" i="1"/>
  <c r="O179" i="1"/>
  <c r="O143" i="1"/>
  <c r="O107" i="1"/>
  <c r="O71" i="1"/>
  <c r="O35" i="1"/>
  <c r="O221" i="1"/>
  <c r="O185" i="1"/>
  <c r="O149" i="1"/>
  <c r="O113" i="1"/>
  <c r="O77" i="1"/>
  <c r="O41" i="1"/>
  <c r="O5" i="1"/>
  <c r="G246" i="1"/>
  <c r="G240" i="1"/>
  <c r="G234" i="1"/>
  <c r="G228" i="1"/>
  <c r="G222" i="1"/>
  <c r="G216" i="1"/>
  <c r="G210" i="1"/>
  <c r="G204" i="1"/>
  <c r="G198" i="1"/>
  <c r="G192" i="1"/>
  <c r="G186" i="1"/>
  <c r="G180" i="1"/>
  <c r="G174" i="1"/>
  <c r="G168" i="1"/>
  <c r="G162" i="1"/>
  <c r="G156" i="1"/>
  <c r="G150" i="1"/>
  <c r="G144" i="1"/>
  <c r="G138" i="1"/>
  <c r="G132" i="1"/>
  <c r="G126" i="1"/>
  <c r="G120" i="1"/>
  <c r="G114" i="1"/>
  <c r="G108" i="1"/>
  <c r="G102" i="1"/>
  <c r="G96" i="1"/>
  <c r="G90" i="1"/>
  <c r="G84" i="1"/>
  <c r="G78" i="1"/>
  <c r="G72" i="1"/>
  <c r="G66" i="1"/>
  <c r="G60" i="1"/>
  <c r="G54" i="1"/>
  <c r="G48" i="1"/>
  <c r="G42" i="1"/>
  <c r="G36" i="1"/>
  <c r="G30" i="1"/>
  <c r="G24" i="1"/>
  <c r="G18" i="1"/>
  <c r="G12" i="1"/>
  <c r="G6" i="1"/>
  <c r="G245" i="1"/>
  <c r="G239" i="1"/>
  <c r="G233" i="1"/>
  <c r="G227" i="1"/>
  <c r="G221" i="1"/>
  <c r="G215" i="1"/>
  <c r="G209" i="1"/>
  <c r="G203" i="1"/>
  <c r="G197" i="1"/>
  <c r="G191" i="1"/>
  <c r="G185" i="1"/>
  <c r="G179" i="1"/>
  <c r="G173" i="1"/>
  <c r="G167" i="1"/>
  <c r="G161" i="1"/>
  <c r="G155" i="1"/>
  <c r="G149" i="1"/>
  <c r="G143" i="1"/>
  <c r="G137" i="1"/>
  <c r="G131" i="1"/>
  <c r="G125" i="1"/>
  <c r="G119" i="1"/>
  <c r="G113" i="1"/>
  <c r="G107" i="1"/>
  <c r="G101" i="1"/>
  <c r="G95" i="1"/>
  <c r="G89" i="1"/>
  <c r="G83" i="1"/>
  <c r="G77" i="1"/>
  <c r="G71" i="1"/>
  <c r="G59" i="1"/>
  <c r="G53" i="1"/>
  <c r="G47" i="1"/>
  <c r="G41" i="1"/>
  <c r="G35" i="1"/>
  <c r="G29" i="1"/>
  <c r="G23" i="1"/>
  <c r="G17" i="1"/>
  <c r="G11" i="1"/>
  <c r="G50" i="1"/>
  <c r="G181" i="1"/>
  <c r="G235" i="1"/>
  <c r="G223" i="1"/>
  <c r="G217" i="1"/>
  <c r="G211" i="1"/>
  <c r="G199" i="1"/>
  <c r="G193" i="1"/>
  <c r="G187" i="1"/>
  <c r="G175" i="1"/>
  <c r="G169" i="1"/>
  <c r="G163" i="1"/>
  <c r="G157" i="1"/>
  <c r="G151" i="1"/>
  <c r="G145" i="1"/>
  <c r="G139" i="1"/>
  <c r="G127" i="1"/>
  <c r="G121" i="1"/>
  <c r="G115" i="1"/>
  <c r="G103" i="1"/>
  <c r="G91" i="1"/>
  <c r="G85" i="1"/>
  <c r="G79" i="1"/>
  <c r="G73" i="1"/>
  <c r="G67" i="1"/>
  <c r="G61" i="1"/>
  <c r="G55" i="1"/>
  <c r="G43" i="1"/>
  <c r="G37" i="1"/>
  <c r="G31" i="1"/>
  <c r="G25" i="1"/>
  <c r="G19" i="1"/>
  <c r="G13" i="1"/>
  <c r="G7" i="1"/>
  <c r="G232" i="1"/>
  <c r="G202" i="1"/>
  <c r="G184" i="1"/>
  <c r="G154" i="1"/>
  <c r="G136" i="1"/>
  <c r="G106" i="1"/>
  <c r="G88" i="1"/>
  <c r="G58" i="1"/>
  <c r="G40" i="1"/>
  <c r="G28" i="1"/>
  <c r="G10" i="1"/>
  <c r="G231" i="1"/>
  <c r="G201" i="1"/>
  <c r="G183" i="1"/>
  <c r="G153" i="1"/>
  <c r="G135" i="1"/>
  <c r="G105" i="1"/>
  <c r="G87" i="1"/>
  <c r="G57" i="1"/>
  <c r="G39" i="1"/>
  <c r="G9" i="1"/>
  <c r="G230" i="1"/>
  <c r="G146" i="1"/>
  <c r="G98" i="1"/>
  <c r="G62" i="1"/>
  <c r="G14" i="1"/>
  <c r="G236" i="1"/>
  <c r="G224" i="1"/>
  <c r="G218" i="1"/>
  <c r="G212" i="1"/>
  <c r="G200" i="1"/>
  <c r="G188" i="1"/>
  <c r="G176" i="1"/>
  <c r="G170" i="1"/>
  <c r="G164" i="1"/>
  <c r="G152" i="1"/>
  <c r="G140" i="1"/>
  <c r="G128" i="1"/>
  <c r="G122" i="1"/>
  <c r="G116" i="1"/>
  <c r="G104" i="1"/>
  <c r="G92" i="1"/>
  <c r="G80" i="1"/>
  <c r="G74" i="1"/>
  <c r="G68" i="1"/>
  <c r="G56" i="1"/>
  <c r="G44" i="1"/>
  <c r="G32" i="1"/>
  <c r="G26" i="1"/>
  <c r="G20" i="1"/>
  <c r="G8" i="1"/>
</calcChain>
</file>

<file path=xl/sharedStrings.xml><?xml version="1.0" encoding="utf-8"?>
<sst xmlns="http://schemas.openxmlformats.org/spreadsheetml/2006/main" count="88" uniqueCount="55">
  <si>
    <t>Tanggal</t>
  </si>
  <si>
    <t>Vol. CW (m3)</t>
  </si>
  <si>
    <t>Vol. CW (lps)</t>
  </si>
  <si>
    <t>Plant Loss (%)</t>
  </si>
  <si>
    <t>Koagulan (Rp/m3)</t>
  </si>
  <si>
    <t>Desinfektan (Rp/m3)</t>
  </si>
  <si>
    <t>Vol. RW B1 (m3)</t>
  </si>
  <si>
    <t>Vol. RW B2 (m3)</t>
  </si>
  <si>
    <t>Vol. RW Total BU (m3)</t>
  </si>
  <si>
    <t>Vol. RW B1 (lps)</t>
  </si>
  <si>
    <t>Vol. RW B2 (lps)</t>
  </si>
  <si>
    <t>Vol. RW Total BU (lps)</t>
  </si>
  <si>
    <t>Vol. CW B1 (m3)</t>
  </si>
  <si>
    <t>Vol. CW B2 (m3)</t>
  </si>
  <si>
    <t>Vol. CW B1 (lps)</t>
  </si>
  <si>
    <t>Vol. CW B2 (lps)</t>
  </si>
  <si>
    <t>Vol. CW Total BU (lps)</t>
  </si>
  <si>
    <t>Vol. CW Total BU (m3)</t>
  </si>
  <si>
    <t>Belalai (m3)</t>
  </si>
  <si>
    <t>Belalai (lps)</t>
  </si>
  <si>
    <t>Konsumsi Listrik (kWH/m3)</t>
  </si>
  <si>
    <t>Listrik (kWH)</t>
  </si>
  <si>
    <t>Vol. RW Interkoneksi (m3)</t>
  </si>
  <si>
    <t>Vol. RW Intake (m3)</t>
  </si>
  <si>
    <t>Vol. RW Total B3 (m3)</t>
  </si>
  <si>
    <t>Vol. RW Interkoneksi (lps)</t>
  </si>
  <si>
    <t>Vol. RW Intake (lps)</t>
  </si>
  <si>
    <t>Vol. RW PG (m3)</t>
  </si>
  <si>
    <t>Vol. RW PG (lps)</t>
  </si>
  <si>
    <t>Vol. CW Total PG (m3)</t>
  </si>
  <si>
    <t>Vol. CW Total PG (lps)</t>
  </si>
  <si>
    <t>Vol. RW PJT (m3)</t>
  </si>
  <si>
    <t>Vol. RW BK (m3)</t>
  </si>
  <si>
    <t>Vol. RW Total P1 (m3)</t>
  </si>
  <si>
    <t>Vol. RW PJT (lps)</t>
  </si>
  <si>
    <t>Vol. RW BK (lps)</t>
  </si>
  <si>
    <t>Vol. RW Total P1 (lps)</t>
  </si>
  <si>
    <t>Vol. CW Jkt (m3)</t>
  </si>
  <si>
    <t>Vol. CW Kuningan (m3)</t>
  </si>
  <si>
    <t>Vol. CW Total P1 (m3)</t>
  </si>
  <si>
    <t>Vol. CW Jkt (lps)</t>
  </si>
  <si>
    <t>Vol. CW Kuningan (lps)</t>
  </si>
  <si>
    <t>Vol. CW Total P1 (lps)</t>
  </si>
  <si>
    <t>Listrik WTP (kWH)</t>
  </si>
  <si>
    <t>Listrik Intake (kWH)</t>
  </si>
  <si>
    <t>Listrik STP (kWH)</t>
  </si>
  <si>
    <t>Konsumsi Listrik Intake (kWH/m3)</t>
  </si>
  <si>
    <t>Konsumsi Listrik WTP (kWH/m3)</t>
  </si>
  <si>
    <t>Konsumsi Listrik STP (kWH/m3)</t>
  </si>
  <si>
    <t>Konsumsi Listrik Total (kWH/m3)</t>
  </si>
  <si>
    <t>Listrik PKS (kWH/m3)</t>
  </si>
  <si>
    <t>Listrik Total (kWH)</t>
  </si>
  <si>
    <t>Vol. RW Total P2 (m3)</t>
  </si>
  <si>
    <t>Vol. RW Total P2 (lps)</t>
  </si>
  <si>
    <t>Vol. CW P2 (m3)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</si>
</sst>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15" fontId="2" fillId="0" borderId="1" xfId="0" applyNumberFormat="1" applyFont="1" applyBorder="1"/>
    <xf numFmtId="164" fontId="0" fillId="0" borderId="1" xfId="1" applyNumberFormat="1" applyFont="1" applyBorder="1"/>
    <xf numFmtId="164" fontId="0" fillId="0" borderId="1" xfId="0" applyNumberFormat="1" applyBorder="1"/>
    <xf numFmtId="10" fontId="0" fillId="0" borderId="1" xfId="2" applyNumberFormat="1" applyFont="1" applyBorder="1"/>
    <xf numFmtId="165" fontId="0" fillId="0" borderId="1" xfId="0" applyNumberFormat="1" applyBorder="1"/>
    <xf numFmtId="43" fontId="0" fillId="0" borderId="1" xfId="1" applyFont="1" applyBorder="1"/>
    <xf numFmtId="15" fontId="2" fillId="2" borderId="1" xfId="0" applyNumberFormat="1" applyFont="1" applyFill="1" applyBorder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B4BC4-50B3-4684-96D0-4D53642B4CC5}">
  <dimension ref="A1:T246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H6" sqref="H6"/>
    </sheetView>
  </sheetViews>
  <sheetFormatPr defaultRowHeight="14.5" x14ac:dyDescent="0.35"/>
  <cols>
    <col min="1" max="1" width="8.81640625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15" width="11.7265625" customWidth="1"/>
    <col min="16" max="16" width="12.1796875" bestFit="1" customWidth="1"/>
    <col min="17" max="19" width="10.90625" customWidth="1"/>
    <col min="20" max="20" width="10.1796875" customWidth="1"/>
  </cols>
  <sheetData>
    <row r="1" spans="1:20" ht="43.5" x14ac:dyDescent="0.35">
      <c r="A1" s="9" t="s">
        <v>0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18</v>
      </c>
      <c r="K1" s="10" t="s">
        <v>17</v>
      </c>
      <c r="L1" s="10" t="s">
        <v>14</v>
      </c>
      <c r="M1" s="10" t="s">
        <v>15</v>
      </c>
      <c r="N1" s="10" t="s">
        <v>19</v>
      </c>
      <c r="O1" s="10" t="s">
        <v>16</v>
      </c>
      <c r="P1" s="10" t="s">
        <v>3</v>
      </c>
      <c r="Q1" s="10" t="s">
        <v>4</v>
      </c>
      <c r="R1" s="10" t="s">
        <v>5</v>
      </c>
      <c r="S1" s="10" t="s">
        <v>21</v>
      </c>
      <c r="T1" s="10" t="s">
        <v>20</v>
      </c>
    </row>
    <row r="2" spans="1:20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5">
      <c r="A3" s="2">
        <v>45048</v>
      </c>
      <c r="B3" s="3">
        <v>95224</v>
      </c>
      <c r="C3" s="3">
        <v>87326</v>
      </c>
      <c r="D3" s="3">
        <f>SUM(B3:C3)</f>
        <v>182550</v>
      </c>
      <c r="E3" s="4">
        <f>B3/3.6/8</f>
        <v>3306.3888888888887</v>
      </c>
      <c r="F3" s="4">
        <f>C3/3.6/8</f>
        <v>3032.1527777777778</v>
      </c>
      <c r="G3" s="4">
        <f>SUM(E3:F3)</f>
        <v>6338.5416666666661</v>
      </c>
      <c r="H3" s="3">
        <v>61577</v>
      </c>
      <c r="I3" s="3">
        <v>115491.99999999999</v>
      </c>
      <c r="J3" s="3">
        <v>0</v>
      </c>
      <c r="K3" s="4">
        <f>SUM(H3:J3)</f>
        <v>177069</v>
      </c>
      <c r="L3" s="4">
        <f>H3/3.6/8</f>
        <v>2138.0902777777778</v>
      </c>
      <c r="M3" s="4">
        <f>I3/3.6/8</f>
        <v>4010.1388888888882</v>
      </c>
      <c r="N3" s="4">
        <f>J3/3.6/8</f>
        <v>0</v>
      </c>
      <c r="O3" s="4">
        <f>SUM(L3:N3)</f>
        <v>6148.2291666666661</v>
      </c>
      <c r="P3" s="5">
        <f>(D3-K3)/D3</f>
        <v>3.0024650780608054E-2</v>
      </c>
      <c r="Q3" s="1"/>
      <c r="R3" s="1"/>
      <c r="S3" s="3">
        <v>23520.000000000437</v>
      </c>
      <c r="T3" s="6">
        <f>S3/D3</f>
        <v>0.12884141331142393</v>
      </c>
    </row>
    <row r="4" spans="1:20" x14ac:dyDescent="0.35">
      <c r="A4" s="2">
        <v>45049</v>
      </c>
      <c r="B4" s="3">
        <v>289500</v>
      </c>
      <c r="C4" s="3">
        <v>265360</v>
      </c>
      <c r="D4" s="3">
        <f t="shared" ref="D4:D67" si="0">SUM(B4:C4)</f>
        <v>554860</v>
      </c>
      <c r="E4" s="4">
        <f t="shared" ref="E4:E67" si="1">B4/86.4</f>
        <v>3350.6944444444443</v>
      </c>
      <c r="F4" s="4">
        <f t="shared" ref="F4:F67" si="2">C4/86.4</f>
        <v>3071.2962962962961</v>
      </c>
      <c r="G4" s="4">
        <f t="shared" ref="G4:G67" si="3">SUM(E4:F4)</f>
        <v>6421.9907407407409</v>
      </c>
      <c r="H4" s="3">
        <v>185110</v>
      </c>
      <c r="I4" s="3">
        <v>365550</v>
      </c>
      <c r="J4" s="3">
        <v>0</v>
      </c>
      <c r="K4" s="4">
        <f t="shared" ref="K4:K67" si="4">SUM(H4:J4)</f>
        <v>550660</v>
      </c>
      <c r="L4" s="4">
        <f>H4/86.4</f>
        <v>2142.4768518518517</v>
      </c>
      <c r="M4" s="4">
        <f t="shared" ref="M4:N4" si="5">I4/86.4</f>
        <v>4230.9027777777774</v>
      </c>
      <c r="N4" s="4">
        <f t="shared" si="5"/>
        <v>0</v>
      </c>
      <c r="O4" s="4">
        <f>SUM(L4:N4)</f>
        <v>6373.3796296296296</v>
      </c>
      <c r="P4" s="5">
        <f t="shared" ref="P4:P67" si="6">(D4-K4)/D4</f>
        <v>7.5694769851854518E-3</v>
      </c>
      <c r="Q4" s="7">
        <v>40.679619145794092</v>
      </c>
      <c r="R4" s="7">
        <v>21.430704327055611</v>
      </c>
      <c r="S4" s="3">
        <v>80700.000000000276</v>
      </c>
      <c r="T4" s="6">
        <f t="shared" ref="T4:T67" si="7">S4/D4</f>
        <v>0.14544209350106382</v>
      </c>
    </row>
    <row r="5" spans="1:20" x14ac:dyDescent="0.35">
      <c r="A5" s="2">
        <v>45050</v>
      </c>
      <c r="B5" s="3">
        <v>296590</v>
      </c>
      <c r="C5" s="3">
        <v>270510</v>
      </c>
      <c r="D5" s="3">
        <f t="shared" si="0"/>
        <v>567100</v>
      </c>
      <c r="E5" s="4">
        <f t="shared" si="1"/>
        <v>3432.7546296296296</v>
      </c>
      <c r="F5" s="4">
        <f t="shared" si="2"/>
        <v>3130.9027777777774</v>
      </c>
      <c r="G5" s="4">
        <f t="shared" si="3"/>
        <v>6563.6574074074069</v>
      </c>
      <c r="H5" s="3">
        <v>185120</v>
      </c>
      <c r="I5" s="3">
        <v>366750.00000000006</v>
      </c>
      <c r="J5" s="3">
        <v>16</v>
      </c>
      <c r="K5" s="4">
        <f t="shared" si="4"/>
        <v>551886</v>
      </c>
      <c r="L5" s="4">
        <f t="shared" ref="L5:L68" si="8">H5/86.4</f>
        <v>2142.5925925925926</v>
      </c>
      <c r="M5" s="4">
        <f t="shared" ref="M5:M68" si="9">I5/86.4</f>
        <v>4244.791666666667</v>
      </c>
      <c r="N5" s="4">
        <f t="shared" ref="N5:N68" si="10">J5/86.4</f>
        <v>0.18518518518518517</v>
      </c>
      <c r="O5" s="4">
        <f t="shared" ref="O5:O68" si="11">SUM(L5:N5)</f>
        <v>6387.5694444444443</v>
      </c>
      <c r="P5" s="5">
        <f t="shared" si="6"/>
        <v>2.6827719978839711E-2</v>
      </c>
      <c r="Q5" s="7">
        <v>53.475948598538487</v>
      </c>
      <c r="R5" s="7">
        <v>20.069519621003483</v>
      </c>
      <c r="S5" s="3">
        <v>78299.999999999724</v>
      </c>
      <c r="T5" s="6">
        <f t="shared" si="7"/>
        <v>0.13807088696878808</v>
      </c>
    </row>
    <row r="6" spans="1:20" x14ac:dyDescent="0.35">
      <c r="A6" s="2">
        <v>45051</v>
      </c>
      <c r="B6" s="3">
        <v>293100</v>
      </c>
      <c r="C6" s="3">
        <v>267770</v>
      </c>
      <c r="D6" s="3">
        <f t="shared" si="0"/>
        <v>560870</v>
      </c>
      <c r="E6" s="4">
        <f t="shared" si="1"/>
        <v>3392.3611111111109</v>
      </c>
      <c r="F6" s="4">
        <f t="shared" si="2"/>
        <v>3099.1898148148148</v>
      </c>
      <c r="G6" s="4">
        <f t="shared" si="3"/>
        <v>6491.5509259259252</v>
      </c>
      <c r="H6" s="3">
        <v>185340</v>
      </c>
      <c r="I6" s="3">
        <v>368590</v>
      </c>
      <c r="J6" s="3">
        <v>9</v>
      </c>
      <c r="K6" s="4">
        <f t="shared" si="4"/>
        <v>553939</v>
      </c>
      <c r="L6" s="4">
        <f t="shared" si="8"/>
        <v>2145.1388888888887</v>
      </c>
      <c r="M6" s="4">
        <f t="shared" si="9"/>
        <v>4266.0879629629626</v>
      </c>
      <c r="N6" s="4">
        <f t="shared" si="10"/>
        <v>0.10416666666666666</v>
      </c>
      <c r="O6" s="4">
        <f t="shared" si="11"/>
        <v>6411.3310185185182</v>
      </c>
      <c r="P6" s="5">
        <f t="shared" si="6"/>
        <v>1.2357587319699753E-2</v>
      </c>
      <c r="Q6" s="7">
        <v>64.950564444272487</v>
      </c>
      <c r="R6" s="7">
        <v>19.888616908708027</v>
      </c>
      <c r="S6" s="3">
        <v>80039.999999999505</v>
      </c>
      <c r="T6" s="6">
        <f t="shared" si="7"/>
        <v>0.14270686611870756</v>
      </c>
    </row>
    <row r="7" spans="1:20" x14ac:dyDescent="0.35">
      <c r="A7" s="2">
        <v>45052</v>
      </c>
      <c r="B7" s="3">
        <v>296460</v>
      </c>
      <c r="C7" s="3">
        <v>272220</v>
      </c>
      <c r="D7" s="3">
        <f t="shared" si="0"/>
        <v>568680</v>
      </c>
      <c r="E7" s="4">
        <f t="shared" si="1"/>
        <v>3431.25</v>
      </c>
      <c r="F7" s="4">
        <f t="shared" si="2"/>
        <v>3150.6944444444443</v>
      </c>
      <c r="G7" s="4">
        <f t="shared" si="3"/>
        <v>6581.9444444444443</v>
      </c>
      <c r="H7" s="3">
        <v>185560.00000000003</v>
      </c>
      <c r="I7" s="3">
        <v>368980</v>
      </c>
      <c r="J7" s="3">
        <v>0</v>
      </c>
      <c r="K7" s="4">
        <f t="shared" si="4"/>
        <v>554540</v>
      </c>
      <c r="L7" s="4">
        <f t="shared" si="8"/>
        <v>2147.6851851851852</v>
      </c>
      <c r="M7" s="4">
        <f t="shared" si="9"/>
        <v>4270.6018518518513</v>
      </c>
      <c r="N7" s="4">
        <f t="shared" si="10"/>
        <v>0</v>
      </c>
      <c r="O7" s="4">
        <f t="shared" si="11"/>
        <v>6418.2870370370365</v>
      </c>
      <c r="P7" s="5">
        <f t="shared" si="6"/>
        <v>2.4864598719842441E-2</v>
      </c>
      <c r="Q7" s="7">
        <v>53.55333822041208</v>
      </c>
      <c r="R7" s="7">
        <v>18.520195072810839</v>
      </c>
      <c r="S7" s="3">
        <v>79019.999999997701</v>
      </c>
      <c r="T7" s="6">
        <f t="shared" si="7"/>
        <v>0.13895336568895988</v>
      </c>
    </row>
    <row r="8" spans="1:20" x14ac:dyDescent="0.35">
      <c r="A8" s="2">
        <v>45053</v>
      </c>
      <c r="B8" s="3">
        <v>291200</v>
      </c>
      <c r="C8" s="3">
        <v>268810</v>
      </c>
      <c r="D8" s="3">
        <f t="shared" si="0"/>
        <v>560010</v>
      </c>
      <c r="E8" s="4">
        <f t="shared" si="1"/>
        <v>3370.37037037037</v>
      </c>
      <c r="F8" s="4">
        <f t="shared" si="2"/>
        <v>3111.2268518518517</v>
      </c>
      <c r="G8" s="4">
        <f t="shared" si="3"/>
        <v>6481.5972222222217</v>
      </c>
      <c r="H8" s="3">
        <v>185120</v>
      </c>
      <c r="I8" s="3">
        <v>368810</v>
      </c>
      <c r="J8" s="3">
        <v>8</v>
      </c>
      <c r="K8" s="4">
        <f t="shared" si="4"/>
        <v>553938</v>
      </c>
      <c r="L8" s="4">
        <f t="shared" si="8"/>
        <v>2142.5925925925926</v>
      </c>
      <c r="M8" s="4">
        <f t="shared" si="9"/>
        <v>4268.6342592592591</v>
      </c>
      <c r="N8" s="4">
        <f t="shared" si="10"/>
        <v>9.2592592592592587E-2</v>
      </c>
      <c r="O8" s="4">
        <f t="shared" si="11"/>
        <v>6411.3194444444443</v>
      </c>
      <c r="P8" s="5">
        <f t="shared" si="6"/>
        <v>1.0842663523865646E-2</v>
      </c>
      <c r="Q8" s="7">
        <v>72.180326222638428</v>
      </c>
      <c r="R8" s="7">
        <v>20.323609537456608</v>
      </c>
      <c r="S8" s="3">
        <v>78960.000000001863</v>
      </c>
      <c r="T8" s="6">
        <f t="shared" si="7"/>
        <v>0.1409974821878214</v>
      </c>
    </row>
    <row r="9" spans="1:20" x14ac:dyDescent="0.35">
      <c r="A9" s="2">
        <v>45054</v>
      </c>
      <c r="B9" s="3">
        <v>292730</v>
      </c>
      <c r="C9" s="3">
        <v>268800</v>
      </c>
      <c r="D9" s="3">
        <f t="shared" si="0"/>
        <v>561530</v>
      </c>
      <c r="E9" s="4">
        <f t="shared" si="1"/>
        <v>3388.0787037037035</v>
      </c>
      <c r="F9" s="4">
        <f t="shared" si="2"/>
        <v>3111.1111111111109</v>
      </c>
      <c r="G9" s="4">
        <f t="shared" si="3"/>
        <v>6499.1898148148139</v>
      </c>
      <c r="H9" s="3">
        <v>185080</v>
      </c>
      <c r="I9" s="3">
        <v>370640</v>
      </c>
      <c r="J9" s="3">
        <v>8</v>
      </c>
      <c r="K9" s="4">
        <f t="shared" si="4"/>
        <v>555728</v>
      </c>
      <c r="L9" s="4">
        <f t="shared" si="8"/>
        <v>2142.1296296296296</v>
      </c>
      <c r="M9" s="4">
        <f t="shared" si="9"/>
        <v>4289.8148148148148</v>
      </c>
      <c r="N9" s="4">
        <f t="shared" si="10"/>
        <v>9.2592592592592587E-2</v>
      </c>
      <c r="O9" s="4">
        <f t="shared" si="11"/>
        <v>6432.0370370370365</v>
      </c>
      <c r="P9" s="5">
        <f t="shared" si="6"/>
        <v>1.0332484462094635E-2</v>
      </c>
      <c r="Q9" s="7">
        <v>57.601096493207564</v>
      </c>
      <c r="R9" s="7">
        <v>21.47866117842872</v>
      </c>
      <c r="S9" s="3">
        <v>79799.999999999724</v>
      </c>
      <c r="T9" s="6">
        <f t="shared" si="7"/>
        <v>0.14211173045073233</v>
      </c>
    </row>
    <row r="10" spans="1:20" x14ac:dyDescent="0.35">
      <c r="A10" s="2">
        <v>45055</v>
      </c>
      <c r="B10" s="3">
        <v>289600</v>
      </c>
      <c r="C10" s="3">
        <v>266520</v>
      </c>
      <c r="D10" s="3">
        <f t="shared" si="0"/>
        <v>556120</v>
      </c>
      <c r="E10" s="4">
        <f t="shared" si="1"/>
        <v>3351.8518518518517</v>
      </c>
      <c r="F10" s="4">
        <f t="shared" si="2"/>
        <v>3084.7222222222222</v>
      </c>
      <c r="G10" s="4">
        <f t="shared" si="3"/>
        <v>6436.5740740740739</v>
      </c>
      <c r="H10" s="3">
        <v>185499.99999999997</v>
      </c>
      <c r="I10" s="3">
        <v>368699.99999999994</v>
      </c>
      <c r="J10" s="3">
        <v>10</v>
      </c>
      <c r="K10" s="4">
        <f t="shared" si="4"/>
        <v>554209.99999999988</v>
      </c>
      <c r="L10" s="4">
        <f t="shared" si="8"/>
        <v>2146.9907407407404</v>
      </c>
      <c r="M10" s="4">
        <f t="shared" si="9"/>
        <v>4267.3611111111104</v>
      </c>
      <c r="N10" s="4">
        <f t="shared" si="10"/>
        <v>0.11574074074074073</v>
      </c>
      <c r="O10" s="4">
        <f t="shared" si="11"/>
        <v>6414.4675925925912</v>
      </c>
      <c r="P10" s="5">
        <f t="shared" si="6"/>
        <v>3.4345105372943184E-3</v>
      </c>
      <c r="Q10" s="7">
        <v>54.380795712480946</v>
      </c>
      <c r="R10" s="7">
        <v>21.076689553148736</v>
      </c>
      <c r="S10" s="3">
        <v>78959.999999997759</v>
      </c>
      <c r="T10" s="6">
        <f t="shared" si="7"/>
        <v>0.14198374451556814</v>
      </c>
    </row>
    <row r="11" spans="1:20" x14ac:dyDescent="0.35">
      <c r="A11" s="2">
        <v>45056</v>
      </c>
      <c r="B11" s="3">
        <v>285960</v>
      </c>
      <c r="C11" s="3">
        <v>260810</v>
      </c>
      <c r="D11" s="3">
        <f t="shared" si="0"/>
        <v>546770</v>
      </c>
      <c r="E11" s="4">
        <f t="shared" si="1"/>
        <v>3309.7222222222222</v>
      </c>
      <c r="F11" s="4">
        <f t="shared" si="2"/>
        <v>3018.6342592592591</v>
      </c>
      <c r="G11" s="4">
        <f t="shared" si="3"/>
        <v>6328.3564814814818</v>
      </c>
      <c r="H11" s="3">
        <v>185900.00000000003</v>
      </c>
      <c r="I11" s="3">
        <v>363860</v>
      </c>
      <c r="J11" s="3">
        <v>9</v>
      </c>
      <c r="K11" s="4">
        <f t="shared" si="4"/>
        <v>549769</v>
      </c>
      <c r="L11" s="4">
        <f t="shared" si="8"/>
        <v>2151.6203703703704</v>
      </c>
      <c r="M11" s="4">
        <f t="shared" si="9"/>
        <v>4211.3425925925922</v>
      </c>
      <c r="N11" s="4">
        <f t="shared" si="10"/>
        <v>0.10416666666666666</v>
      </c>
      <c r="O11" s="4">
        <f t="shared" si="11"/>
        <v>6363.0671296296296</v>
      </c>
      <c r="P11" s="5">
        <f t="shared" si="6"/>
        <v>-5.4849388225396423E-3</v>
      </c>
      <c r="Q11" s="7">
        <v>48.098908999828069</v>
      </c>
      <c r="R11" s="7">
        <v>20.919305338519074</v>
      </c>
      <c r="S11" s="3">
        <v>78780.000000003376</v>
      </c>
      <c r="T11" s="6">
        <f t="shared" si="7"/>
        <v>0.14408252098689281</v>
      </c>
    </row>
    <row r="12" spans="1:20" x14ac:dyDescent="0.35">
      <c r="A12" s="2">
        <v>45057</v>
      </c>
      <c r="B12" s="3">
        <v>287690</v>
      </c>
      <c r="C12" s="3">
        <v>261600</v>
      </c>
      <c r="D12" s="3">
        <f t="shared" si="0"/>
        <v>549290</v>
      </c>
      <c r="E12" s="4">
        <f t="shared" si="1"/>
        <v>3329.74537037037</v>
      </c>
      <c r="F12" s="4">
        <f t="shared" si="2"/>
        <v>3027.7777777777774</v>
      </c>
      <c r="G12" s="4">
        <f t="shared" si="3"/>
        <v>6357.5231481481478</v>
      </c>
      <c r="H12" s="3">
        <v>185900.00000000003</v>
      </c>
      <c r="I12" s="3">
        <v>360840</v>
      </c>
      <c r="J12" s="3">
        <v>8</v>
      </c>
      <c r="K12" s="4">
        <f t="shared" si="4"/>
        <v>546748</v>
      </c>
      <c r="L12" s="4">
        <f t="shared" si="8"/>
        <v>2151.6203703703704</v>
      </c>
      <c r="M12" s="4">
        <f t="shared" si="9"/>
        <v>4176.3888888888887</v>
      </c>
      <c r="N12" s="4">
        <f t="shared" si="10"/>
        <v>9.2592592592592587E-2</v>
      </c>
      <c r="O12" s="4">
        <f t="shared" si="11"/>
        <v>6328.1018518518513</v>
      </c>
      <c r="P12" s="5">
        <f t="shared" si="6"/>
        <v>4.6277922408927887E-3</v>
      </c>
      <c r="Q12" s="7">
        <v>41.177152138223647</v>
      </c>
      <c r="R12" s="7">
        <v>21.338762027885227</v>
      </c>
      <c r="S12" s="3">
        <v>80159.999999998035</v>
      </c>
      <c r="T12" s="6">
        <f t="shared" si="7"/>
        <v>0.14593384186859043</v>
      </c>
    </row>
    <row r="13" spans="1:20" x14ac:dyDescent="0.35">
      <c r="A13" s="2">
        <v>45058</v>
      </c>
      <c r="B13" s="3">
        <v>288390</v>
      </c>
      <c r="C13" s="3">
        <v>262110</v>
      </c>
      <c r="D13" s="3">
        <f t="shared" si="0"/>
        <v>550500</v>
      </c>
      <c r="E13" s="4">
        <f t="shared" si="1"/>
        <v>3337.8472222222222</v>
      </c>
      <c r="F13" s="4">
        <f t="shared" si="2"/>
        <v>3033.6805555555552</v>
      </c>
      <c r="G13" s="4">
        <f t="shared" si="3"/>
        <v>6371.5277777777774</v>
      </c>
      <c r="H13" s="3">
        <v>185660</v>
      </c>
      <c r="I13" s="3">
        <v>362479.00000000006</v>
      </c>
      <c r="J13" s="3">
        <v>23151</v>
      </c>
      <c r="K13" s="4">
        <f t="shared" si="4"/>
        <v>571290</v>
      </c>
      <c r="L13" s="4">
        <f t="shared" si="8"/>
        <v>2148.8425925925926</v>
      </c>
      <c r="M13" s="4">
        <f t="shared" si="9"/>
        <v>4195.3587962962965</v>
      </c>
      <c r="N13" s="4">
        <f t="shared" si="10"/>
        <v>267.95138888888886</v>
      </c>
      <c r="O13" s="4">
        <f t="shared" si="11"/>
        <v>6612.1527777777774</v>
      </c>
      <c r="P13" s="5">
        <f t="shared" si="6"/>
        <v>-3.7765667574931883E-2</v>
      </c>
      <c r="Q13" s="7">
        <v>41.503821656643062</v>
      </c>
      <c r="R13" s="7">
        <v>20.571844821435192</v>
      </c>
      <c r="S13" s="3">
        <v>79859.99999999968</v>
      </c>
      <c r="T13" s="6">
        <f t="shared" si="7"/>
        <v>0.1450681198910076</v>
      </c>
    </row>
    <row r="14" spans="1:20" x14ac:dyDescent="0.35">
      <c r="A14" s="2">
        <v>45059</v>
      </c>
      <c r="B14" s="3">
        <v>261110</v>
      </c>
      <c r="C14" s="3">
        <v>262610</v>
      </c>
      <c r="D14" s="3">
        <f t="shared" si="0"/>
        <v>523720</v>
      </c>
      <c r="E14" s="4">
        <f t="shared" si="1"/>
        <v>3022.1064814814813</v>
      </c>
      <c r="F14" s="4">
        <f t="shared" si="2"/>
        <v>3039.4675925925926</v>
      </c>
      <c r="G14" s="4">
        <f t="shared" si="3"/>
        <v>6061.5740740740739</v>
      </c>
      <c r="H14" s="3">
        <v>184689.99999999997</v>
      </c>
      <c r="I14" s="3">
        <v>354721</v>
      </c>
      <c r="J14" s="3">
        <v>-23146</v>
      </c>
      <c r="K14" s="4">
        <f t="shared" si="4"/>
        <v>516265</v>
      </c>
      <c r="L14" s="4">
        <f t="shared" si="8"/>
        <v>2137.6157407407404</v>
      </c>
      <c r="M14" s="4">
        <f t="shared" si="9"/>
        <v>4105.5671296296296</v>
      </c>
      <c r="N14" s="4">
        <f t="shared" si="10"/>
        <v>-267.89351851851848</v>
      </c>
      <c r="O14" s="4">
        <f t="shared" si="11"/>
        <v>5975.2893518518522</v>
      </c>
      <c r="P14" s="5">
        <f t="shared" si="6"/>
        <v>1.4234705567860689E-2</v>
      </c>
      <c r="Q14" s="7">
        <v>43.725052734887797</v>
      </c>
      <c r="R14" s="7">
        <v>22.380601455543182</v>
      </c>
      <c r="S14" s="3">
        <v>79560.000000002678</v>
      </c>
      <c r="T14" s="6">
        <f t="shared" si="7"/>
        <v>0.1519132360803534</v>
      </c>
    </row>
    <row r="15" spans="1:20" x14ac:dyDescent="0.35">
      <c r="A15" s="2">
        <v>45060</v>
      </c>
      <c r="B15" s="3">
        <v>295950</v>
      </c>
      <c r="C15" s="3">
        <v>269850</v>
      </c>
      <c r="D15" s="3">
        <f t="shared" si="0"/>
        <v>565800</v>
      </c>
      <c r="E15" s="4">
        <f t="shared" si="1"/>
        <v>3425.3472222222222</v>
      </c>
      <c r="F15" s="4">
        <f t="shared" si="2"/>
        <v>3123.2638888888887</v>
      </c>
      <c r="G15" s="4">
        <f t="shared" si="3"/>
        <v>6548.6111111111113</v>
      </c>
      <c r="H15" s="3">
        <v>185640</v>
      </c>
      <c r="I15" s="3">
        <v>367470</v>
      </c>
      <c r="J15" s="3">
        <v>17</v>
      </c>
      <c r="K15" s="4">
        <f t="shared" si="4"/>
        <v>553127</v>
      </c>
      <c r="L15" s="4">
        <f t="shared" si="8"/>
        <v>2148.6111111111109</v>
      </c>
      <c r="M15" s="4">
        <f t="shared" si="9"/>
        <v>4253.125</v>
      </c>
      <c r="N15" s="4">
        <f t="shared" si="10"/>
        <v>0.19675925925925924</v>
      </c>
      <c r="O15" s="4">
        <f t="shared" si="11"/>
        <v>6401.9328703703704</v>
      </c>
      <c r="P15" s="5">
        <f t="shared" si="6"/>
        <v>2.2398373983739839E-2</v>
      </c>
      <c r="Q15" s="7">
        <v>54.056047351708919</v>
      </c>
      <c r="R15" s="7">
        <v>20.916254153480164</v>
      </c>
      <c r="S15" s="3">
        <v>78659.999999998035</v>
      </c>
      <c r="T15" s="6">
        <f t="shared" si="7"/>
        <v>0.13902439024389895</v>
      </c>
    </row>
    <row r="16" spans="1:20" x14ac:dyDescent="0.35">
      <c r="A16" s="2">
        <v>45061</v>
      </c>
      <c r="B16" s="3">
        <v>286830</v>
      </c>
      <c r="C16" s="3">
        <v>260980</v>
      </c>
      <c r="D16" s="3">
        <f t="shared" si="0"/>
        <v>547810</v>
      </c>
      <c r="E16" s="4">
        <f t="shared" si="1"/>
        <v>3319.7916666666665</v>
      </c>
      <c r="F16" s="4">
        <f t="shared" si="2"/>
        <v>3020.6018518518517</v>
      </c>
      <c r="G16" s="4">
        <f t="shared" si="3"/>
        <v>6340.3935185185182</v>
      </c>
      <c r="H16" s="3">
        <v>179759.99999999997</v>
      </c>
      <c r="I16" s="3">
        <v>363860</v>
      </c>
      <c r="J16" s="3">
        <v>8</v>
      </c>
      <c r="K16" s="4">
        <f t="shared" si="4"/>
        <v>543628</v>
      </c>
      <c r="L16" s="4">
        <f t="shared" si="8"/>
        <v>2080.5555555555552</v>
      </c>
      <c r="M16" s="4">
        <f t="shared" si="9"/>
        <v>4211.3425925925922</v>
      </c>
      <c r="N16" s="4">
        <f t="shared" si="10"/>
        <v>9.2592592592592587E-2</v>
      </c>
      <c r="O16" s="4">
        <f t="shared" si="11"/>
        <v>6291.99074074074</v>
      </c>
      <c r="P16" s="5">
        <f t="shared" si="6"/>
        <v>7.6340336978149362E-3</v>
      </c>
      <c r="Q16" s="7">
        <v>49.313284206424761</v>
      </c>
      <c r="R16" s="7">
        <v>20.466133455866217</v>
      </c>
      <c r="S16" s="3">
        <v>76860.000000001033</v>
      </c>
      <c r="T16" s="6">
        <f t="shared" si="7"/>
        <v>0.14030412004162215</v>
      </c>
    </row>
    <row r="17" spans="1:20" x14ac:dyDescent="0.35">
      <c r="A17" s="2">
        <v>45062</v>
      </c>
      <c r="B17" s="3">
        <v>289950</v>
      </c>
      <c r="C17" s="3">
        <v>262030</v>
      </c>
      <c r="D17" s="3">
        <f t="shared" si="0"/>
        <v>551980</v>
      </c>
      <c r="E17" s="4">
        <f t="shared" si="1"/>
        <v>3355.9027777777774</v>
      </c>
      <c r="F17" s="4">
        <f t="shared" si="2"/>
        <v>3032.7546296296296</v>
      </c>
      <c r="G17" s="4">
        <f t="shared" si="3"/>
        <v>6388.6574074074069</v>
      </c>
      <c r="H17" s="3">
        <v>184850</v>
      </c>
      <c r="I17" s="3">
        <v>367320</v>
      </c>
      <c r="J17" s="3">
        <v>8</v>
      </c>
      <c r="K17" s="4">
        <f t="shared" si="4"/>
        <v>552178</v>
      </c>
      <c r="L17" s="4">
        <f t="shared" si="8"/>
        <v>2139.4675925925926</v>
      </c>
      <c r="M17" s="4">
        <f t="shared" si="9"/>
        <v>4251.3888888888887</v>
      </c>
      <c r="N17" s="4">
        <f t="shared" si="10"/>
        <v>9.2592592592592587E-2</v>
      </c>
      <c r="O17" s="4">
        <f t="shared" si="11"/>
        <v>6390.9490740740739</v>
      </c>
      <c r="P17" s="5">
        <f t="shared" si="6"/>
        <v>-3.5870864886408926E-4</v>
      </c>
      <c r="Q17" s="7">
        <v>34.28598296591025</v>
      </c>
      <c r="R17" s="7">
        <v>20.208936130995816</v>
      </c>
      <c r="S17" s="3">
        <v>80219.999999997977</v>
      </c>
      <c r="T17" s="6">
        <f t="shared" si="7"/>
        <v>0.14533135258523494</v>
      </c>
    </row>
    <row r="18" spans="1:20" x14ac:dyDescent="0.35">
      <c r="A18" s="2">
        <v>45063</v>
      </c>
      <c r="B18" s="3">
        <v>289080</v>
      </c>
      <c r="C18" s="3">
        <v>260400</v>
      </c>
      <c r="D18" s="3">
        <f t="shared" si="0"/>
        <v>549480</v>
      </c>
      <c r="E18" s="4">
        <f t="shared" si="1"/>
        <v>3345.833333333333</v>
      </c>
      <c r="F18" s="4">
        <f t="shared" si="2"/>
        <v>3013.8888888888887</v>
      </c>
      <c r="G18" s="4">
        <f t="shared" si="3"/>
        <v>6359.7222222222217</v>
      </c>
      <c r="H18" s="3">
        <v>186110</v>
      </c>
      <c r="I18" s="3">
        <v>363460</v>
      </c>
      <c r="J18" s="3">
        <v>9</v>
      </c>
      <c r="K18" s="4">
        <f t="shared" si="4"/>
        <v>549579</v>
      </c>
      <c r="L18" s="4">
        <f t="shared" si="8"/>
        <v>2154.0509259259256</v>
      </c>
      <c r="M18" s="4">
        <f t="shared" si="9"/>
        <v>4206.7129629629626</v>
      </c>
      <c r="N18" s="4">
        <f t="shared" si="10"/>
        <v>0.10416666666666666</v>
      </c>
      <c r="O18" s="4">
        <f t="shared" si="11"/>
        <v>6360.8680555555557</v>
      </c>
      <c r="P18" s="5">
        <f t="shared" si="6"/>
        <v>-1.8017034286962218E-4</v>
      </c>
      <c r="Q18" s="7">
        <v>33.613632641963818</v>
      </c>
      <c r="R18" s="7">
        <v>20.816132670783421</v>
      </c>
      <c r="S18" s="3">
        <v>78059.999999999942</v>
      </c>
      <c r="T18" s="6">
        <f t="shared" si="7"/>
        <v>0.14206158549901715</v>
      </c>
    </row>
    <row r="19" spans="1:20" x14ac:dyDescent="0.35">
      <c r="A19" s="2">
        <v>45064</v>
      </c>
      <c r="B19" s="3">
        <v>292170</v>
      </c>
      <c r="C19" s="3">
        <v>263110</v>
      </c>
      <c r="D19" s="3">
        <f t="shared" si="0"/>
        <v>555280</v>
      </c>
      <c r="E19" s="4">
        <f t="shared" si="1"/>
        <v>3381.5972222222222</v>
      </c>
      <c r="F19" s="4">
        <f t="shared" si="2"/>
        <v>3045.2546296296296</v>
      </c>
      <c r="G19" s="4">
        <f t="shared" si="3"/>
        <v>6426.8518518518522</v>
      </c>
      <c r="H19" s="3">
        <v>187150.00000000003</v>
      </c>
      <c r="I19" s="3">
        <v>362480.00000000006</v>
      </c>
      <c r="J19" s="3">
        <v>8</v>
      </c>
      <c r="K19" s="4">
        <f t="shared" si="4"/>
        <v>549638.00000000012</v>
      </c>
      <c r="L19" s="4">
        <f t="shared" si="8"/>
        <v>2166.087962962963</v>
      </c>
      <c r="M19" s="4">
        <f t="shared" si="9"/>
        <v>4195.3703703703704</v>
      </c>
      <c r="N19" s="4">
        <f t="shared" si="10"/>
        <v>9.2592592592592587E-2</v>
      </c>
      <c r="O19" s="4">
        <f t="shared" si="11"/>
        <v>6361.5509259259261</v>
      </c>
      <c r="P19" s="5">
        <f t="shared" si="6"/>
        <v>1.0160639677279721E-2</v>
      </c>
      <c r="Q19" s="7">
        <v>34.002149616550945</v>
      </c>
      <c r="R19" s="7">
        <v>21.210547106267246</v>
      </c>
      <c r="S19" s="3">
        <v>78720.000000000713</v>
      </c>
      <c r="T19" s="6">
        <f t="shared" si="7"/>
        <v>0.14176631609278331</v>
      </c>
    </row>
    <row r="20" spans="1:20" x14ac:dyDescent="0.35">
      <c r="A20" s="2">
        <v>45065</v>
      </c>
      <c r="B20" s="3">
        <v>295360</v>
      </c>
      <c r="C20" s="3">
        <v>265790</v>
      </c>
      <c r="D20" s="3">
        <f t="shared" si="0"/>
        <v>561150</v>
      </c>
      <c r="E20" s="4">
        <f t="shared" si="1"/>
        <v>3418.5185185185182</v>
      </c>
      <c r="F20" s="4">
        <f t="shared" si="2"/>
        <v>3076.2731481481478</v>
      </c>
      <c r="G20" s="4">
        <f t="shared" si="3"/>
        <v>6494.7916666666661</v>
      </c>
      <c r="H20" s="3">
        <v>186530</v>
      </c>
      <c r="I20" s="3">
        <v>366310</v>
      </c>
      <c r="J20" s="3">
        <v>8</v>
      </c>
      <c r="K20" s="4">
        <f t="shared" si="4"/>
        <v>552848</v>
      </c>
      <c r="L20" s="4">
        <f t="shared" si="8"/>
        <v>2158.912037037037</v>
      </c>
      <c r="M20" s="4">
        <f t="shared" si="9"/>
        <v>4239.6990740740739</v>
      </c>
      <c r="N20" s="4">
        <f t="shared" si="10"/>
        <v>9.2592592592592587E-2</v>
      </c>
      <c r="O20" s="4">
        <f t="shared" si="11"/>
        <v>6398.7037037037035</v>
      </c>
      <c r="P20" s="5">
        <f t="shared" si="6"/>
        <v>1.4794618194778579E-2</v>
      </c>
      <c r="Q20" s="7">
        <v>27.789851900893538</v>
      </c>
      <c r="R20" s="7">
        <v>21.190484902272257</v>
      </c>
      <c r="S20" s="3">
        <v>81359.99999999968</v>
      </c>
      <c r="T20" s="6">
        <f t="shared" si="7"/>
        <v>0.14498797113071316</v>
      </c>
    </row>
    <row r="21" spans="1:20" x14ac:dyDescent="0.35">
      <c r="A21" s="2">
        <v>45066</v>
      </c>
      <c r="B21" s="3">
        <v>297340</v>
      </c>
      <c r="C21" s="3">
        <v>268150</v>
      </c>
      <c r="D21" s="3">
        <f t="shared" si="0"/>
        <v>565490</v>
      </c>
      <c r="E21" s="4">
        <f t="shared" si="1"/>
        <v>3441.4351851851848</v>
      </c>
      <c r="F21" s="4">
        <f t="shared" si="2"/>
        <v>3103.5879629629626</v>
      </c>
      <c r="G21" s="4">
        <f t="shared" si="3"/>
        <v>6545.0231481481478</v>
      </c>
      <c r="H21" s="3">
        <v>186220</v>
      </c>
      <c r="I21" s="3">
        <v>369060</v>
      </c>
      <c r="J21" s="3">
        <v>8</v>
      </c>
      <c r="K21" s="4">
        <f t="shared" si="4"/>
        <v>555288</v>
      </c>
      <c r="L21" s="4">
        <f t="shared" si="8"/>
        <v>2155.3240740740739</v>
      </c>
      <c r="M21" s="4">
        <f t="shared" si="9"/>
        <v>4271.5277777777774</v>
      </c>
      <c r="N21" s="4">
        <f t="shared" si="10"/>
        <v>9.2592592592592587E-2</v>
      </c>
      <c r="O21" s="4">
        <f t="shared" si="11"/>
        <v>6426.9444444444434</v>
      </c>
      <c r="P21" s="5">
        <f t="shared" si="6"/>
        <v>1.8040990998956657E-2</v>
      </c>
      <c r="Q21" s="7">
        <v>35.591068948937185</v>
      </c>
      <c r="R21" s="7">
        <v>21.328250917828925</v>
      </c>
      <c r="S21" s="3">
        <v>80580.000000001746</v>
      </c>
      <c r="T21" s="6">
        <f t="shared" si="7"/>
        <v>0.14249588852146236</v>
      </c>
    </row>
    <row r="22" spans="1:20" x14ac:dyDescent="0.35">
      <c r="A22" s="2">
        <v>45067</v>
      </c>
      <c r="B22" s="3">
        <v>295570</v>
      </c>
      <c r="C22" s="3">
        <v>266560</v>
      </c>
      <c r="D22" s="3">
        <f t="shared" si="0"/>
        <v>562130</v>
      </c>
      <c r="E22" s="4">
        <f t="shared" si="1"/>
        <v>3420.9490740740739</v>
      </c>
      <c r="F22" s="4">
        <f t="shared" si="2"/>
        <v>3085.1851851851848</v>
      </c>
      <c r="G22" s="4">
        <f t="shared" si="3"/>
        <v>6506.1342592592591</v>
      </c>
      <c r="H22" s="3">
        <v>186190</v>
      </c>
      <c r="I22" s="3">
        <v>369750</v>
      </c>
      <c r="J22" s="3">
        <v>9</v>
      </c>
      <c r="K22" s="4">
        <f t="shared" si="4"/>
        <v>555949</v>
      </c>
      <c r="L22" s="4">
        <f t="shared" si="8"/>
        <v>2154.9768518518517</v>
      </c>
      <c r="M22" s="4">
        <f t="shared" si="9"/>
        <v>4279.5138888888887</v>
      </c>
      <c r="N22" s="4">
        <f t="shared" si="10"/>
        <v>0.10416666666666666</v>
      </c>
      <c r="O22" s="4">
        <f t="shared" si="11"/>
        <v>6434.5949074074078</v>
      </c>
      <c r="P22" s="5">
        <f t="shared" si="6"/>
        <v>1.0995677156529628E-2</v>
      </c>
      <c r="Q22" s="7">
        <v>36.523932589049771</v>
      </c>
      <c r="R22" s="7">
        <v>22.160853595467383</v>
      </c>
      <c r="S22" s="3">
        <v>79859.99999999968</v>
      </c>
      <c r="T22" s="6">
        <f t="shared" si="7"/>
        <v>0.14206678170529891</v>
      </c>
    </row>
    <row r="23" spans="1:20" x14ac:dyDescent="0.35">
      <c r="A23" s="2">
        <v>45068</v>
      </c>
      <c r="B23" s="3">
        <v>296990</v>
      </c>
      <c r="C23" s="3">
        <v>271290</v>
      </c>
      <c r="D23" s="3">
        <f t="shared" si="0"/>
        <v>568280</v>
      </c>
      <c r="E23" s="4">
        <f t="shared" si="1"/>
        <v>3437.3842592592591</v>
      </c>
      <c r="F23" s="4">
        <f t="shared" si="2"/>
        <v>3139.9305555555552</v>
      </c>
      <c r="G23" s="4">
        <f t="shared" si="3"/>
        <v>6577.3148148148139</v>
      </c>
      <c r="H23" s="3">
        <v>186500</v>
      </c>
      <c r="I23" s="3">
        <v>370510</v>
      </c>
      <c r="J23" s="3">
        <v>8</v>
      </c>
      <c r="K23" s="4">
        <f t="shared" si="4"/>
        <v>557018</v>
      </c>
      <c r="L23" s="4">
        <f t="shared" si="8"/>
        <v>2158.5648148148148</v>
      </c>
      <c r="M23" s="4">
        <f t="shared" si="9"/>
        <v>4288.3101851851852</v>
      </c>
      <c r="N23" s="4">
        <f t="shared" si="10"/>
        <v>9.2592592592592587E-2</v>
      </c>
      <c r="O23" s="4">
        <f t="shared" si="11"/>
        <v>6446.9675925925922</v>
      </c>
      <c r="P23" s="5">
        <f t="shared" si="6"/>
        <v>1.9817695502217215E-2</v>
      </c>
      <c r="Q23" s="7">
        <v>30.449214968600327</v>
      </c>
      <c r="R23" s="7">
        <v>22.319590066699657</v>
      </c>
      <c r="S23" s="3">
        <v>79619.99999999853</v>
      </c>
      <c r="T23" s="6">
        <f t="shared" si="7"/>
        <v>0.14010698951220971</v>
      </c>
    </row>
    <row r="24" spans="1:20" x14ac:dyDescent="0.35">
      <c r="A24" s="2">
        <v>45069</v>
      </c>
      <c r="B24" s="3">
        <v>290980</v>
      </c>
      <c r="C24" s="3">
        <v>267880</v>
      </c>
      <c r="D24" s="3">
        <f t="shared" si="0"/>
        <v>558860</v>
      </c>
      <c r="E24" s="4">
        <f t="shared" si="1"/>
        <v>3367.8240740740739</v>
      </c>
      <c r="F24" s="4">
        <f t="shared" si="2"/>
        <v>3100.4629629629626</v>
      </c>
      <c r="G24" s="4">
        <f t="shared" si="3"/>
        <v>6468.2870370370365</v>
      </c>
      <c r="H24" s="3">
        <v>186370.00000000003</v>
      </c>
      <c r="I24" s="3">
        <v>365660.00000000006</v>
      </c>
      <c r="J24" s="3">
        <v>9</v>
      </c>
      <c r="K24" s="4">
        <f t="shared" si="4"/>
        <v>552039.00000000012</v>
      </c>
      <c r="L24" s="4">
        <f t="shared" si="8"/>
        <v>2157.0601851851852</v>
      </c>
      <c r="M24" s="4">
        <f t="shared" si="9"/>
        <v>4232.1759259259261</v>
      </c>
      <c r="N24" s="4">
        <f t="shared" si="10"/>
        <v>0.10416666666666666</v>
      </c>
      <c r="O24" s="4">
        <f t="shared" si="11"/>
        <v>6389.3402777777783</v>
      </c>
      <c r="P24" s="5">
        <f t="shared" si="6"/>
        <v>1.2205203449879905E-2</v>
      </c>
      <c r="Q24" s="7">
        <v>43.101491046924878</v>
      </c>
      <c r="R24" s="7">
        <v>22.594482768910069</v>
      </c>
      <c r="S24" s="3">
        <v>80339.999999999243</v>
      </c>
      <c r="T24" s="6">
        <f t="shared" si="7"/>
        <v>0.14375693375800602</v>
      </c>
    </row>
    <row r="25" spans="1:20" x14ac:dyDescent="0.35">
      <c r="A25" s="2">
        <v>45070</v>
      </c>
      <c r="B25" s="3">
        <v>293520</v>
      </c>
      <c r="C25" s="3">
        <v>265590</v>
      </c>
      <c r="D25" s="3">
        <f t="shared" si="0"/>
        <v>559110</v>
      </c>
      <c r="E25" s="4">
        <f t="shared" si="1"/>
        <v>3397.2222222222222</v>
      </c>
      <c r="F25" s="4">
        <f t="shared" si="2"/>
        <v>3073.958333333333</v>
      </c>
      <c r="G25" s="4">
        <f t="shared" si="3"/>
        <v>6471.1805555555547</v>
      </c>
      <c r="H25" s="3">
        <v>184010.00000000003</v>
      </c>
      <c r="I25" s="3">
        <v>367130</v>
      </c>
      <c r="J25" s="3">
        <v>8</v>
      </c>
      <c r="K25" s="4">
        <f t="shared" si="4"/>
        <v>551148</v>
      </c>
      <c r="L25" s="4">
        <f t="shared" si="8"/>
        <v>2129.7453703703704</v>
      </c>
      <c r="M25" s="4">
        <f t="shared" si="9"/>
        <v>4249.1898148148148</v>
      </c>
      <c r="N25" s="4">
        <f t="shared" si="10"/>
        <v>9.2592592592592587E-2</v>
      </c>
      <c r="O25" s="4">
        <f t="shared" si="11"/>
        <v>6379.0277777777774</v>
      </c>
      <c r="P25" s="5">
        <f t="shared" si="6"/>
        <v>1.4240489349144176E-2</v>
      </c>
      <c r="Q25" s="7">
        <v>34.298532339261982</v>
      </c>
      <c r="R25" s="7">
        <v>22.280554151455135</v>
      </c>
      <c r="S25" s="3">
        <v>79500.000000004089</v>
      </c>
      <c r="T25" s="6">
        <f t="shared" si="7"/>
        <v>0.1421902666738282</v>
      </c>
    </row>
    <row r="26" spans="1:20" x14ac:dyDescent="0.35">
      <c r="A26" s="2">
        <v>45071</v>
      </c>
      <c r="B26" s="3">
        <v>291800</v>
      </c>
      <c r="C26" s="3">
        <v>266880</v>
      </c>
      <c r="D26" s="3">
        <f t="shared" si="0"/>
        <v>558680</v>
      </c>
      <c r="E26" s="4">
        <f t="shared" si="1"/>
        <v>3377.3148148148148</v>
      </c>
      <c r="F26" s="4">
        <f t="shared" si="2"/>
        <v>3088.8888888888887</v>
      </c>
      <c r="G26" s="4">
        <f t="shared" si="3"/>
        <v>6466.2037037037035</v>
      </c>
      <c r="H26" s="3">
        <v>185540.00000000003</v>
      </c>
      <c r="I26" s="3">
        <v>368050</v>
      </c>
      <c r="J26" s="3">
        <v>9</v>
      </c>
      <c r="K26" s="4">
        <f t="shared" si="4"/>
        <v>553599</v>
      </c>
      <c r="L26" s="4">
        <f t="shared" si="8"/>
        <v>2147.4537037037039</v>
      </c>
      <c r="M26" s="4">
        <f t="shared" si="9"/>
        <v>4259.8379629629626</v>
      </c>
      <c r="N26" s="4">
        <f t="shared" si="10"/>
        <v>0.10416666666666666</v>
      </c>
      <c r="O26" s="4">
        <f t="shared" si="11"/>
        <v>6407.395833333333</v>
      </c>
      <c r="P26" s="5">
        <f t="shared" si="6"/>
        <v>9.0946516789575434E-3</v>
      </c>
      <c r="Q26" s="7">
        <v>35.811301163481104</v>
      </c>
      <c r="R26" s="7">
        <v>21.993643271652967</v>
      </c>
      <c r="S26" s="3">
        <v>78539.999999998137</v>
      </c>
      <c r="T26" s="6">
        <f t="shared" si="7"/>
        <v>0.14058137037301879</v>
      </c>
    </row>
    <row r="27" spans="1:20" x14ac:dyDescent="0.35">
      <c r="A27" s="2">
        <v>45072</v>
      </c>
      <c r="B27" s="3">
        <v>290220</v>
      </c>
      <c r="C27" s="3">
        <v>268110</v>
      </c>
      <c r="D27" s="3">
        <f t="shared" si="0"/>
        <v>558330</v>
      </c>
      <c r="E27" s="4">
        <f t="shared" si="1"/>
        <v>3359.0277777777774</v>
      </c>
      <c r="F27" s="4">
        <f t="shared" si="2"/>
        <v>3103.125</v>
      </c>
      <c r="G27" s="4">
        <f t="shared" si="3"/>
        <v>6462.1527777777774</v>
      </c>
      <c r="H27" s="3">
        <v>185240</v>
      </c>
      <c r="I27" s="3">
        <v>367820.00000000006</v>
      </c>
      <c r="J27" s="3">
        <v>8</v>
      </c>
      <c r="K27" s="4">
        <f t="shared" si="4"/>
        <v>553068</v>
      </c>
      <c r="L27" s="4">
        <f t="shared" si="8"/>
        <v>2143.9814814814813</v>
      </c>
      <c r="M27" s="4">
        <f t="shared" si="9"/>
        <v>4257.1759259259261</v>
      </c>
      <c r="N27" s="4">
        <f t="shared" si="10"/>
        <v>9.2592592592592587E-2</v>
      </c>
      <c r="O27" s="4">
        <f t="shared" si="11"/>
        <v>6401.2499999999991</v>
      </c>
      <c r="P27" s="5">
        <f t="shared" si="6"/>
        <v>9.4245338778141952E-3</v>
      </c>
      <c r="Q27" s="7">
        <v>29.045359284451674</v>
      </c>
      <c r="R27" s="7">
        <v>21.601763493853237</v>
      </c>
      <c r="S27" s="3">
        <v>79260.000000000218</v>
      </c>
      <c r="T27" s="6">
        <f t="shared" si="7"/>
        <v>0.14195905647197932</v>
      </c>
    </row>
    <row r="28" spans="1:20" x14ac:dyDescent="0.35">
      <c r="A28" s="2">
        <v>45073</v>
      </c>
      <c r="B28" s="3">
        <v>291290</v>
      </c>
      <c r="C28" s="3">
        <v>267370</v>
      </c>
      <c r="D28" s="3">
        <f t="shared" si="0"/>
        <v>558660</v>
      </c>
      <c r="E28" s="4">
        <f t="shared" si="1"/>
        <v>3371.412037037037</v>
      </c>
      <c r="F28" s="4">
        <f t="shared" si="2"/>
        <v>3094.5601851851848</v>
      </c>
      <c r="G28" s="4">
        <f t="shared" si="3"/>
        <v>6465.9722222222217</v>
      </c>
      <c r="H28" s="3">
        <v>184959.99999999997</v>
      </c>
      <c r="I28" s="3">
        <v>366949.99999999994</v>
      </c>
      <c r="J28" s="3">
        <v>9</v>
      </c>
      <c r="K28" s="4">
        <f t="shared" si="4"/>
        <v>551918.99999999988</v>
      </c>
      <c r="L28" s="4">
        <f t="shared" si="8"/>
        <v>2140.7407407407404</v>
      </c>
      <c r="M28" s="4">
        <f t="shared" si="9"/>
        <v>4247.1064814814808</v>
      </c>
      <c r="N28" s="4">
        <f t="shared" si="10"/>
        <v>0.10416666666666666</v>
      </c>
      <c r="O28" s="4">
        <f t="shared" si="11"/>
        <v>6387.9513888888878</v>
      </c>
      <c r="P28" s="5">
        <f t="shared" si="6"/>
        <v>1.2066373107077859E-2</v>
      </c>
      <c r="Q28" s="7">
        <v>32.945152996860955</v>
      </c>
      <c r="R28" s="7">
        <v>21.487646526782083</v>
      </c>
      <c r="S28" s="3">
        <v>79679.99999999984</v>
      </c>
      <c r="T28" s="6">
        <f t="shared" si="7"/>
        <v>0.14262700032219927</v>
      </c>
    </row>
    <row r="29" spans="1:20" x14ac:dyDescent="0.35">
      <c r="A29" s="2">
        <v>45074</v>
      </c>
      <c r="B29" s="3">
        <v>292680</v>
      </c>
      <c r="C29" s="3">
        <v>267230</v>
      </c>
      <c r="D29" s="3">
        <f t="shared" si="0"/>
        <v>559910</v>
      </c>
      <c r="E29" s="4">
        <f t="shared" si="1"/>
        <v>3387.5</v>
      </c>
      <c r="F29" s="4">
        <f t="shared" si="2"/>
        <v>3092.9398148148148</v>
      </c>
      <c r="G29" s="4">
        <f t="shared" si="3"/>
        <v>6480.4398148148148</v>
      </c>
      <c r="H29" s="3">
        <v>184900</v>
      </c>
      <c r="I29" s="3">
        <v>367190</v>
      </c>
      <c r="J29" s="3">
        <v>8</v>
      </c>
      <c r="K29" s="4">
        <f t="shared" si="4"/>
        <v>552098</v>
      </c>
      <c r="L29" s="4">
        <f t="shared" si="8"/>
        <v>2140.0462962962961</v>
      </c>
      <c r="M29" s="4">
        <f t="shared" si="9"/>
        <v>4249.8842592592591</v>
      </c>
      <c r="N29" s="4">
        <f t="shared" si="10"/>
        <v>9.2592592592592587E-2</v>
      </c>
      <c r="O29" s="4">
        <f t="shared" si="11"/>
        <v>6390.0231481481469</v>
      </c>
      <c r="P29" s="5">
        <f t="shared" si="6"/>
        <v>1.395224232465932E-2</v>
      </c>
      <c r="Q29" s="7">
        <v>29.234100199027719</v>
      </c>
      <c r="R29" s="7">
        <v>21.844197496269182</v>
      </c>
      <c r="S29" s="3">
        <v>78480.000000002299</v>
      </c>
      <c r="T29" s="6">
        <f t="shared" si="7"/>
        <v>0.14016538372238807</v>
      </c>
    </row>
    <row r="30" spans="1:20" x14ac:dyDescent="0.35">
      <c r="A30" s="2">
        <v>45075</v>
      </c>
      <c r="B30" s="3">
        <v>292560</v>
      </c>
      <c r="C30" s="3">
        <v>263250</v>
      </c>
      <c r="D30" s="3">
        <f t="shared" si="0"/>
        <v>555810</v>
      </c>
      <c r="E30" s="4">
        <f t="shared" si="1"/>
        <v>3386.1111111111109</v>
      </c>
      <c r="F30" s="4">
        <f t="shared" si="2"/>
        <v>3046.875</v>
      </c>
      <c r="G30" s="4">
        <f t="shared" si="3"/>
        <v>6432.9861111111113</v>
      </c>
      <c r="H30" s="3">
        <v>185130.00000000003</v>
      </c>
      <c r="I30" s="3">
        <v>366090</v>
      </c>
      <c r="J30" s="3">
        <v>9</v>
      </c>
      <c r="K30" s="4">
        <f t="shared" si="4"/>
        <v>551229</v>
      </c>
      <c r="L30" s="4">
        <f t="shared" si="8"/>
        <v>2142.7083333333335</v>
      </c>
      <c r="M30" s="4">
        <f t="shared" si="9"/>
        <v>4237.1527777777774</v>
      </c>
      <c r="N30" s="4">
        <f t="shared" si="10"/>
        <v>0.10416666666666666</v>
      </c>
      <c r="O30" s="4">
        <f t="shared" si="11"/>
        <v>6379.9652777777783</v>
      </c>
      <c r="P30" s="5">
        <f t="shared" si="6"/>
        <v>8.242025152480164E-3</v>
      </c>
      <c r="Q30" s="7">
        <v>30.849195511249679</v>
      </c>
      <c r="R30" s="7">
        <v>22.107210419040822</v>
      </c>
      <c r="S30" s="3">
        <v>79739.999999997061</v>
      </c>
      <c r="T30" s="6">
        <f t="shared" si="7"/>
        <v>0.14346629243805809</v>
      </c>
    </row>
    <row r="31" spans="1:20" x14ac:dyDescent="0.35">
      <c r="A31" s="2">
        <v>45076</v>
      </c>
      <c r="B31" s="3">
        <v>294044</v>
      </c>
      <c r="C31" s="3">
        <v>264296</v>
      </c>
      <c r="D31" s="3">
        <f t="shared" si="0"/>
        <v>558340</v>
      </c>
      <c r="E31" s="4">
        <f t="shared" si="1"/>
        <v>3403.287037037037</v>
      </c>
      <c r="F31" s="4">
        <f t="shared" si="2"/>
        <v>3058.9814814814813</v>
      </c>
      <c r="G31" s="4">
        <f t="shared" si="3"/>
        <v>6462.2685185185182</v>
      </c>
      <c r="H31" s="3">
        <v>185617</v>
      </c>
      <c r="I31" s="3">
        <v>365336.00000000006</v>
      </c>
      <c r="J31" s="3">
        <v>19</v>
      </c>
      <c r="K31" s="4">
        <f t="shared" si="4"/>
        <v>550972</v>
      </c>
      <c r="L31" s="4">
        <f t="shared" si="8"/>
        <v>2148.3449074074074</v>
      </c>
      <c r="M31" s="4">
        <f t="shared" si="9"/>
        <v>4228.4259259259261</v>
      </c>
      <c r="N31" s="4">
        <f t="shared" si="10"/>
        <v>0.21990740740740738</v>
      </c>
      <c r="O31" s="4">
        <f t="shared" si="11"/>
        <v>6376.9907407407418</v>
      </c>
      <c r="P31" s="5">
        <f t="shared" si="6"/>
        <v>1.3196260343160082E-2</v>
      </c>
      <c r="Q31" s="7">
        <v>32.425135900458564</v>
      </c>
      <c r="R31" s="7">
        <v>22.818355564665048</v>
      </c>
      <c r="S31" s="3">
        <v>80580.000000003114</v>
      </c>
      <c r="T31" s="6">
        <f t="shared" si="7"/>
        <v>0.14432066482788822</v>
      </c>
    </row>
    <row r="32" spans="1:20" x14ac:dyDescent="0.35">
      <c r="A32" s="2">
        <v>45077</v>
      </c>
      <c r="B32" s="3">
        <v>296432</v>
      </c>
      <c r="C32" s="3">
        <v>265912</v>
      </c>
      <c r="D32" s="3">
        <f t="shared" si="0"/>
        <v>562344</v>
      </c>
      <c r="E32" s="4">
        <f t="shared" si="1"/>
        <v>3430.9259259259256</v>
      </c>
      <c r="F32" s="4">
        <f t="shared" si="2"/>
        <v>3077.6851851851848</v>
      </c>
      <c r="G32" s="4">
        <f t="shared" si="3"/>
        <v>6508.6111111111104</v>
      </c>
      <c r="H32" s="3">
        <v>184805</v>
      </c>
      <c r="I32" s="3">
        <v>364896</v>
      </c>
      <c r="J32" s="3">
        <v>26</v>
      </c>
      <c r="K32" s="4">
        <f t="shared" si="4"/>
        <v>549727</v>
      </c>
      <c r="L32" s="4">
        <f t="shared" si="8"/>
        <v>2138.9467592592591</v>
      </c>
      <c r="M32" s="4">
        <f t="shared" si="9"/>
        <v>4223.333333333333</v>
      </c>
      <c r="N32" s="4">
        <f t="shared" si="10"/>
        <v>0.30092592592592593</v>
      </c>
      <c r="O32" s="4">
        <f t="shared" si="11"/>
        <v>6362.5810185185182</v>
      </c>
      <c r="P32" s="5">
        <f t="shared" si="6"/>
        <v>2.2436444596190232E-2</v>
      </c>
      <c r="Q32" s="7">
        <v>30.665040501921467</v>
      </c>
      <c r="R32" s="7">
        <v>23.360734116612047</v>
      </c>
      <c r="S32" s="3">
        <v>79440.000000000058</v>
      </c>
      <c r="T32" s="6">
        <f t="shared" si="7"/>
        <v>0.14126584439417875</v>
      </c>
    </row>
    <row r="33" spans="1:20" x14ac:dyDescent="0.35">
      <c r="A33" s="2">
        <v>45078</v>
      </c>
      <c r="B33" s="3">
        <v>296472</v>
      </c>
      <c r="C33" s="7">
        <v>265104</v>
      </c>
      <c r="D33" s="3">
        <f t="shared" si="0"/>
        <v>561576</v>
      </c>
      <c r="E33" s="4">
        <f t="shared" si="1"/>
        <v>3431.3888888888887</v>
      </c>
      <c r="F33" s="4">
        <f t="shared" si="2"/>
        <v>3068.333333333333</v>
      </c>
      <c r="G33" s="4">
        <f t="shared" si="3"/>
        <v>6499.7222222222217</v>
      </c>
      <c r="H33" s="3">
        <v>185226</v>
      </c>
      <c r="I33" s="3">
        <v>365064</v>
      </c>
      <c r="J33" s="3">
        <v>8</v>
      </c>
      <c r="K33" s="4">
        <f t="shared" si="4"/>
        <v>550298</v>
      </c>
      <c r="L33" s="4">
        <f t="shared" si="8"/>
        <v>2143.8194444444443</v>
      </c>
      <c r="M33" s="4">
        <f t="shared" si="9"/>
        <v>4225.2777777777774</v>
      </c>
      <c r="N33" s="4">
        <f t="shared" si="10"/>
        <v>9.2592592592592587E-2</v>
      </c>
      <c r="O33" s="4">
        <f t="shared" si="11"/>
        <v>6369.1898148148139</v>
      </c>
      <c r="P33" s="5">
        <f t="shared" si="6"/>
        <v>2.0082767069817799E-2</v>
      </c>
      <c r="Q33" s="7">
        <v>25.49687606349168</v>
      </c>
      <c r="R33" s="7">
        <v>22.983674516004957</v>
      </c>
      <c r="S33" s="3">
        <v>78839.99999999514</v>
      </c>
      <c r="T33" s="6">
        <f t="shared" si="7"/>
        <v>0.14039061498353764</v>
      </c>
    </row>
    <row r="34" spans="1:20" x14ac:dyDescent="0.35">
      <c r="A34" s="2">
        <v>45079</v>
      </c>
      <c r="B34" s="3">
        <v>293924</v>
      </c>
      <c r="C34" s="7">
        <v>266220</v>
      </c>
      <c r="D34" s="3">
        <f t="shared" si="0"/>
        <v>560144</v>
      </c>
      <c r="E34" s="4">
        <f t="shared" si="1"/>
        <v>3401.8981481481478</v>
      </c>
      <c r="F34" s="4">
        <f t="shared" si="2"/>
        <v>3081.25</v>
      </c>
      <c r="G34" s="4">
        <f t="shared" si="3"/>
        <v>6483.1481481481478</v>
      </c>
      <c r="H34" s="3">
        <v>185683</v>
      </c>
      <c r="I34" s="3">
        <v>364766</v>
      </c>
      <c r="J34" s="3">
        <v>14</v>
      </c>
      <c r="K34" s="4">
        <f t="shared" si="4"/>
        <v>550463</v>
      </c>
      <c r="L34" s="4">
        <f t="shared" si="8"/>
        <v>2149.1087962962961</v>
      </c>
      <c r="M34" s="4">
        <f t="shared" si="9"/>
        <v>4221.8287037037035</v>
      </c>
      <c r="N34" s="4">
        <f t="shared" si="10"/>
        <v>0.16203703703703703</v>
      </c>
      <c r="O34" s="4">
        <f t="shared" si="11"/>
        <v>6371.0995370370374</v>
      </c>
      <c r="P34" s="5">
        <f t="shared" si="6"/>
        <v>1.7283055785655116E-2</v>
      </c>
      <c r="Q34" s="7">
        <v>24.134842097274163</v>
      </c>
      <c r="R34" s="7">
        <v>24.760508012225429</v>
      </c>
      <c r="S34" s="3">
        <v>78000</v>
      </c>
      <c r="T34" s="6">
        <f t="shared" si="7"/>
        <v>0.13924990716672855</v>
      </c>
    </row>
    <row r="35" spans="1:20" x14ac:dyDescent="0.35">
      <c r="A35" s="2">
        <v>45080</v>
      </c>
      <c r="B35" s="3">
        <v>282352</v>
      </c>
      <c r="C35" s="7">
        <v>269380</v>
      </c>
      <c r="D35" s="3">
        <f t="shared" si="0"/>
        <v>551732</v>
      </c>
      <c r="E35" s="4">
        <f t="shared" si="1"/>
        <v>3267.9629629629626</v>
      </c>
      <c r="F35" s="4">
        <f t="shared" si="2"/>
        <v>3117.8240740740739</v>
      </c>
      <c r="G35" s="4">
        <f t="shared" si="3"/>
        <v>6385.7870370370365</v>
      </c>
      <c r="H35" s="3">
        <v>184768</v>
      </c>
      <c r="I35" s="3">
        <v>345866</v>
      </c>
      <c r="J35" s="3">
        <v>9</v>
      </c>
      <c r="K35" s="4">
        <f t="shared" si="4"/>
        <v>530643</v>
      </c>
      <c r="L35" s="4">
        <f t="shared" si="8"/>
        <v>2138.5185185185182</v>
      </c>
      <c r="M35" s="4">
        <f t="shared" si="9"/>
        <v>4003.0787037037035</v>
      </c>
      <c r="N35" s="4">
        <f t="shared" si="10"/>
        <v>0.10416666666666666</v>
      </c>
      <c r="O35" s="4">
        <f t="shared" si="11"/>
        <v>6141.7013888888887</v>
      </c>
      <c r="P35" s="5">
        <f t="shared" si="6"/>
        <v>3.822326781843359E-2</v>
      </c>
      <c r="Q35" s="7">
        <v>38.934600779046342</v>
      </c>
      <c r="R35" s="7">
        <v>21.341665881261193</v>
      </c>
      <c r="S35" s="3">
        <v>76620.000000005355</v>
      </c>
      <c r="T35" s="6">
        <f t="shared" si="7"/>
        <v>0.13887177107727186</v>
      </c>
    </row>
    <row r="36" spans="1:20" x14ac:dyDescent="0.35">
      <c r="A36" s="2">
        <v>45081</v>
      </c>
      <c r="B36" s="3">
        <v>278652</v>
      </c>
      <c r="C36" s="7">
        <v>260064</v>
      </c>
      <c r="D36" s="3">
        <f t="shared" si="0"/>
        <v>538716</v>
      </c>
      <c r="E36" s="4">
        <f t="shared" si="1"/>
        <v>3225.1388888888887</v>
      </c>
      <c r="F36" s="4">
        <f t="shared" si="2"/>
        <v>3010</v>
      </c>
      <c r="G36" s="4">
        <f t="shared" si="3"/>
        <v>6235.1388888888887</v>
      </c>
      <c r="H36" s="3">
        <v>185357</v>
      </c>
      <c r="I36" s="3">
        <v>350680</v>
      </c>
      <c r="J36" s="3">
        <v>9</v>
      </c>
      <c r="K36" s="4">
        <f t="shared" si="4"/>
        <v>536046</v>
      </c>
      <c r="L36" s="4">
        <f t="shared" si="8"/>
        <v>2145.3356481481478</v>
      </c>
      <c r="M36" s="4">
        <f t="shared" si="9"/>
        <v>4058.7962962962961</v>
      </c>
      <c r="N36" s="4">
        <f t="shared" si="10"/>
        <v>0.10416666666666666</v>
      </c>
      <c r="O36" s="4">
        <f t="shared" si="11"/>
        <v>6204.2361111111104</v>
      </c>
      <c r="P36" s="5">
        <f t="shared" si="6"/>
        <v>4.9562292562314834E-3</v>
      </c>
      <c r="Q36" s="7">
        <v>43.464326148879621</v>
      </c>
      <c r="R36" s="7">
        <v>22.824070567794532</v>
      </c>
      <c r="S36" s="3">
        <v>76259.999999994761</v>
      </c>
      <c r="T36" s="6">
        <f t="shared" si="7"/>
        <v>0.14155881763302883</v>
      </c>
    </row>
    <row r="37" spans="1:20" x14ac:dyDescent="0.35">
      <c r="A37" s="2">
        <v>45082</v>
      </c>
      <c r="B37" s="3">
        <v>297932</v>
      </c>
      <c r="C37" s="7">
        <v>267716</v>
      </c>
      <c r="D37" s="3">
        <f t="shared" si="0"/>
        <v>565648</v>
      </c>
      <c r="E37" s="4">
        <f t="shared" si="1"/>
        <v>3448.287037037037</v>
      </c>
      <c r="F37" s="4">
        <f t="shared" si="2"/>
        <v>3098.5648148148148</v>
      </c>
      <c r="G37" s="4">
        <f t="shared" si="3"/>
        <v>6546.8518518518522</v>
      </c>
      <c r="H37" s="3">
        <v>185713</v>
      </c>
      <c r="I37" s="3">
        <v>366036</v>
      </c>
      <c r="J37" s="3">
        <v>14</v>
      </c>
      <c r="K37" s="4">
        <f t="shared" si="4"/>
        <v>551763</v>
      </c>
      <c r="L37" s="4">
        <f t="shared" si="8"/>
        <v>2149.4560185185182</v>
      </c>
      <c r="M37" s="4">
        <f t="shared" si="9"/>
        <v>4236.5277777777774</v>
      </c>
      <c r="N37" s="4">
        <f t="shared" si="10"/>
        <v>0.16203703703703703</v>
      </c>
      <c r="O37" s="4">
        <f t="shared" si="11"/>
        <v>6386.145833333333</v>
      </c>
      <c r="P37" s="5">
        <f t="shared" si="6"/>
        <v>2.4547068141317567E-2</v>
      </c>
      <c r="Q37" s="7">
        <v>27.559959857638884</v>
      </c>
      <c r="R37" s="7">
        <v>21.997563855966963</v>
      </c>
      <c r="S37" s="3">
        <v>79440.000000000058</v>
      </c>
      <c r="T37" s="6">
        <f t="shared" si="7"/>
        <v>0.14044069810199994</v>
      </c>
    </row>
    <row r="38" spans="1:20" x14ac:dyDescent="0.35">
      <c r="A38" s="2">
        <v>45083</v>
      </c>
      <c r="B38" s="3">
        <v>293708</v>
      </c>
      <c r="C38" s="7">
        <v>271244</v>
      </c>
      <c r="D38" s="3">
        <f t="shared" si="0"/>
        <v>564952</v>
      </c>
      <c r="E38" s="4">
        <f t="shared" si="1"/>
        <v>3399.3981481481478</v>
      </c>
      <c r="F38" s="4">
        <f t="shared" si="2"/>
        <v>3139.3981481481478</v>
      </c>
      <c r="G38" s="4">
        <f t="shared" si="3"/>
        <v>6538.7962962962956</v>
      </c>
      <c r="H38" s="3">
        <v>185936</v>
      </c>
      <c r="I38" s="3">
        <v>366250</v>
      </c>
      <c r="J38" s="3">
        <v>13</v>
      </c>
      <c r="K38" s="4">
        <f t="shared" si="4"/>
        <v>552199</v>
      </c>
      <c r="L38" s="4">
        <f t="shared" si="8"/>
        <v>2152.037037037037</v>
      </c>
      <c r="M38" s="4">
        <f t="shared" si="9"/>
        <v>4239.0046296296296</v>
      </c>
      <c r="N38" s="4">
        <f t="shared" si="10"/>
        <v>0.15046296296296297</v>
      </c>
      <c r="O38" s="4">
        <f t="shared" si="11"/>
        <v>6391.1921296296287</v>
      </c>
      <c r="P38" s="5">
        <f t="shared" si="6"/>
        <v>2.2573599173027089E-2</v>
      </c>
      <c r="Q38" s="7">
        <v>34.32879456796389</v>
      </c>
      <c r="R38" s="7">
        <v>21.343282261147849</v>
      </c>
      <c r="S38" s="3">
        <v>80340.000000000597</v>
      </c>
      <c r="T38" s="6">
        <f t="shared" si="7"/>
        <v>0.1422067715487344</v>
      </c>
    </row>
    <row r="39" spans="1:20" x14ac:dyDescent="0.35">
      <c r="A39" s="2">
        <v>45084</v>
      </c>
      <c r="B39" s="3">
        <v>291290</v>
      </c>
      <c r="C39" s="7">
        <v>267440</v>
      </c>
      <c r="D39" s="3">
        <f t="shared" si="0"/>
        <v>558730</v>
      </c>
      <c r="E39" s="4">
        <f t="shared" si="1"/>
        <v>3371.412037037037</v>
      </c>
      <c r="F39" s="4">
        <f t="shared" si="2"/>
        <v>3095.37037037037</v>
      </c>
      <c r="G39" s="4">
        <f t="shared" si="3"/>
        <v>6466.7824074074069</v>
      </c>
      <c r="H39" s="3">
        <v>186375</v>
      </c>
      <c r="I39" s="3">
        <v>365171</v>
      </c>
      <c r="J39" s="3">
        <v>22</v>
      </c>
      <c r="K39" s="4">
        <f t="shared" si="4"/>
        <v>551568</v>
      </c>
      <c r="L39" s="4">
        <f t="shared" si="8"/>
        <v>2157.1180555555552</v>
      </c>
      <c r="M39" s="4">
        <f t="shared" si="9"/>
        <v>4226.5162037037035</v>
      </c>
      <c r="N39" s="4">
        <f t="shared" si="10"/>
        <v>0.25462962962962959</v>
      </c>
      <c r="O39" s="4">
        <f t="shared" si="11"/>
        <v>6383.8888888888887</v>
      </c>
      <c r="P39" s="5">
        <f t="shared" si="6"/>
        <v>1.2818355914305657E-2</v>
      </c>
      <c r="Q39" s="7">
        <v>53.05578313450826</v>
      </c>
      <c r="R39" s="7">
        <v>24.924489467184507</v>
      </c>
      <c r="S39" s="3">
        <v>79620.000000002619</v>
      </c>
      <c r="T39" s="6">
        <f t="shared" si="7"/>
        <v>0.14250174502890953</v>
      </c>
    </row>
    <row r="40" spans="1:20" x14ac:dyDescent="0.35">
      <c r="A40" s="2">
        <v>45085</v>
      </c>
      <c r="B40" s="3">
        <v>294462</v>
      </c>
      <c r="C40" s="7">
        <v>267052</v>
      </c>
      <c r="D40" s="3">
        <f t="shared" si="0"/>
        <v>561514</v>
      </c>
      <c r="E40" s="4">
        <f t="shared" si="1"/>
        <v>3408.125</v>
      </c>
      <c r="F40" s="4">
        <f t="shared" si="2"/>
        <v>3090.8796296296296</v>
      </c>
      <c r="G40" s="4">
        <f t="shared" si="3"/>
        <v>6499.0046296296296</v>
      </c>
      <c r="H40" s="3">
        <v>185912</v>
      </c>
      <c r="I40" s="3">
        <v>365500</v>
      </c>
      <c r="J40" s="3">
        <v>23</v>
      </c>
      <c r="K40" s="4">
        <f t="shared" si="4"/>
        <v>551435</v>
      </c>
      <c r="L40" s="4">
        <f t="shared" si="8"/>
        <v>2151.7592592592591</v>
      </c>
      <c r="M40" s="4">
        <f t="shared" si="9"/>
        <v>4230.3240740740739</v>
      </c>
      <c r="N40" s="4">
        <f t="shared" si="10"/>
        <v>0.26620370370370366</v>
      </c>
      <c r="O40" s="4">
        <f t="shared" si="11"/>
        <v>6382.3495370370365</v>
      </c>
      <c r="P40" s="5">
        <f t="shared" si="6"/>
        <v>1.794968602741873E-2</v>
      </c>
      <c r="Q40" s="7">
        <v>29.385631016993404</v>
      </c>
      <c r="R40" s="7">
        <v>23.087028996605607</v>
      </c>
      <c r="S40" s="3">
        <v>79260.000000000218</v>
      </c>
      <c r="T40" s="6">
        <f t="shared" si="7"/>
        <v>0.14115409410985338</v>
      </c>
    </row>
    <row r="41" spans="1:20" x14ac:dyDescent="0.35">
      <c r="A41" s="2">
        <v>45086</v>
      </c>
      <c r="B41" s="3">
        <v>294112</v>
      </c>
      <c r="C41" s="7">
        <v>268792</v>
      </c>
      <c r="D41" s="3">
        <f t="shared" si="0"/>
        <v>562904</v>
      </c>
      <c r="E41" s="4">
        <f t="shared" si="1"/>
        <v>3404.0740740740739</v>
      </c>
      <c r="F41" s="4">
        <f t="shared" si="2"/>
        <v>3111.0185185185182</v>
      </c>
      <c r="G41" s="4">
        <f t="shared" si="3"/>
        <v>6515.0925925925922</v>
      </c>
      <c r="H41" s="3">
        <v>185862</v>
      </c>
      <c r="I41" s="3">
        <v>366159</v>
      </c>
      <c r="J41" s="3">
        <v>8</v>
      </c>
      <c r="K41" s="4">
        <f t="shared" si="4"/>
        <v>552029</v>
      </c>
      <c r="L41" s="4">
        <f t="shared" si="8"/>
        <v>2151.1805555555552</v>
      </c>
      <c r="M41" s="4">
        <f t="shared" si="9"/>
        <v>4237.9513888888887</v>
      </c>
      <c r="N41" s="4">
        <f t="shared" si="10"/>
        <v>9.2592592592592587E-2</v>
      </c>
      <c r="O41" s="4">
        <f t="shared" si="11"/>
        <v>6389.2245370370356</v>
      </c>
      <c r="P41" s="5">
        <f t="shared" si="6"/>
        <v>1.9319457669513807E-2</v>
      </c>
      <c r="Q41" s="7">
        <v>20.618620449703389</v>
      </c>
      <c r="R41" s="7">
        <v>23.73399371828944</v>
      </c>
      <c r="S41" s="3">
        <v>79500</v>
      </c>
      <c r="T41" s="6">
        <f t="shared" si="7"/>
        <v>0.14123189744610093</v>
      </c>
    </row>
    <row r="42" spans="1:20" x14ac:dyDescent="0.35">
      <c r="A42" s="2">
        <v>45087</v>
      </c>
      <c r="B42" s="3">
        <v>291100</v>
      </c>
      <c r="C42" s="7">
        <v>276304</v>
      </c>
      <c r="D42" s="3">
        <f t="shared" si="0"/>
        <v>567404</v>
      </c>
      <c r="E42" s="4">
        <f t="shared" si="1"/>
        <v>3369.2129629629626</v>
      </c>
      <c r="F42" s="4">
        <f t="shared" si="2"/>
        <v>3197.9629629629626</v>
      </c>
      <c r="G42" s="4">
        <f t="shared" si="3"/>
        <v>6567.1759259259252</v>
      </c>
      <c r="H42" s="3">
        <v>185946</v>
      </c>
      <c r="I42" s="3">
        <v>365120</v>
      </c>
      <c r="J42" s="3">
        <v>15</v>
      </c>
      <c r="K42" s="4">
        <f t="shared" si="4"/>
        <v>551081</v>
      </c>
      <c r="L42" s="4">
        <f t="shared" si="8"/>
        <v>2152.1527777777778</v>
      </c>
      <c r="M42" s="4">
        <f t="shared" si="9"/>
        <v>4225.9259259259261</v>
      </c>
      <c r="N42" s="4">
        <f t="shared" si="10"/>
        <v>0.1736111111111111</v>
      </c>
      <c r="O42" s="4">
        <f t="shared" si="11"/>
        <v>6378.2523148148157</v>
      </c>
      <c r="P42" s="5">
        <f t="shared" si="6"/>
        <v>2.8767862052435301E-2</v>
      </c>
      <c r="Q42" s="7">
        <v>27.002126745145397</v>
      </c>
      <c r="R42" s="7">
        <v>22.24875044941523</v>
      </c>
      <c r="S42" s="3">
        <v>75899.999999996449</v>
      </c>
      <c r="T42" s="6">
        <f t="shared" si="7"/>
        <v>0.13376712183910661</v>
      </c>
    </row>
    <row r="43" spans="1:20" x14ac:dyDescent="0.35">
      <c r="A43" s="2">
        <v>45088</v>
      </c>
      <c r="B43" s="3">
        <v>290796</v>
      </c>
      <c r="C43" s="7">
        <v>270308</v>
      </c>
      <c r="D43" s="3">
        <f t="shared" si="0"/>
        <v>561104</v>
      </c>
      <c r="E43" s="4">
        <f t="shared" si="1"/>
        <v>3365.6944444444443</v>
      </c>
      <c r="F43" s="4">
        <f t="shared" si="2"/>
        <v>3128.5648148148148</v>
      </c>
      <c r="G43" s="4">
        <f t="shared" si="3"/>
        <v>6494.2592592592591</v>
      </c>
      <c r="H43" s="3">
        <v>185832</v>
      </c>
      <c r="I43" s="3">
        <v>365708</v>
      </c>
      <c r="J43" s="3">
        <v>11</v>
      </c>
      <c r="K43" s="4">
        <f t="shared" si="4"/>
        <v>551551</v>
      </c>
      <c r="L43" s="4">
        <f t="shared" si="8"/>
        <v>2150.833333333333</v>
      </c>
      <c r="M43" s="4">
        <f t="shared" si="9"/>
        <v>4232.7314814814808</v>
      </c>
      <c r="N43" s="4">
        <f t="shared" si="10"/>
        <v>0.1273148148148148</v>
      </c>
      <c r="O43" s="4">
        <f t="shared" si="11"/>
        <v>6383.6921296296287</v>
      </c>
      <c r="P43" s="5">
        <f t="shared" si="6"/>
        <v>1.7025364281844365E-2</v>
      </c>
      <c r="Q43" s="7">
        <v>27.531602857068204</v>
      </c>
      <c r="R43" s="7">
        <v>25.626158430522683</v>
      </c>
      <c r="S43" s="3">
        <v>80520.000000003172</v>
      </c>
      <c r="T43" s="6">
        <f t="shared" si="7"/>
        <v>0.14350280874847296</v>
      </c>
    </row>
    <row r="44" spans="1:20" x14ac:dyDescent="0.35">
      <c r="A44" s="2">
        <v>45089</v>
      </c>
      <c r="B44" s="3">
        <v>291884</v>
      </c>
      <c r="C44" s="7">
        <v>267436</v>
      </c>
      <c r="D44" s="3">
        <f t="shared" si="0"/>
        <v>559320</v>
      </c>
      <c r="E44" s="4">
        <f t="shared" si="1"/>
        <v>3378.287037037037</v>
      </c>
      <c r="F44" s="4">
        <f t="shared" si="2"/>
        <v>3095.3240740740739</v>
      </c>
      <c r="G44" s="4">
        <f t="shared" si="3"/>
        <v>6473.6111111111113</v>
      </c>
      <c r="H44" s="3">
        <v>186886</v>
      </c>
      <c r="I44" s="3">
        <v>365956</v>
      </c>
      <c r="J44" s="3">
        <v>18</v>
      </c>
      <c r="K44" s="4">
        <f t="shared" si="4"/>
        <v>552860</v>
      </c>
      <c r="L44" s="4">
        <f t="shared" si="8"/>
        <v>2163.0324074074074</v>
      </c>
      <c r="M44" s="4">
        <f t="shared" si="9"/>
        <v>4235.6018518518513</v>
      </c>
      <c r="N44" s="4">
        <f t="shared" si="10"/>
        <v>0.20833333333333331</v>
      </c>
      <c r="O44" s="4">
        <f t="shared" si="11"/>
        <v>6398.8425925925922</v>
      </c>
      <c r="P44" s="5">
        <f t="shared" si="6"/>
        <v>1.1549738968747765E-2</v>
      </c>
      <c r="Q44" s="7">
        <v>28.424769784753387</v>
      </c>
      <c r="R44" s="7">
        <v>22.671529714653509</v>
      </c>
      <c r="S44" s="3">
        <v>79199.999999996187</v>
      </c>
      <c r="T44" s="6">
        <f t="shared" si="7"/>
        <v>0.14160051491095649</v>
      </c>
    </row>
    <row r="45" spans="1:20" x14ac:dyDescent="0.35">
      <c r="A45" s="2">
        <v>45090</v>
      </c>
      <c r="B45" s="3">
        <v>295408</v>
      </c>
      <c r="C45" s="7">
        <v>265888</v>
      </c>
      <c r="D45" s="3">
        <f t="shared" si="0"/>
        <v>561296</v>
      </c>
      <c r="E45" s="4">
        <f t="shared" si="1"/>
        <v>3419.0740740740739</v>
      </c>
      <c r="F45" s="4">
        <f t="shared" si="2"/>
        <v>3077.4074074074074</v>
      </c>
      <c r="G45" s="4">
        <f t="shared" si="3"/>
        <v>6496.4814814814818</v>
      </c>
      <c r="H45" s="3">
        <v>187044</v>
      </c>
      <c r="I45" s="3">
        <v>365940</v>
      </c>
      <c r="J45" s="3">
        <v>18</v>
      </c>
      <c r="K45" s="4">
        <f t="shared" si="4"/>
        <v>553002</v>
      </c>
      <c r="L45" s="4">
        <f t="shared" si="8"/>
        <v>2164.8611111111109</v>
      </c>
      <c r="M45" s="4">
        <f t="shared" si="9"/>
        <v>4235.4166666666661</v>
      </c>
      <c r="N45" s="4">
        <f t="shared" si="10"/>
        <v>0.20833333333333331</v>
      </c>
      <c r="O45" s="4">
        <f t="shared" si="11"/>
        <v>6400.4861111111104</v>
      </c>
      <c r="P45" s="5">
        <f t="shared" si="6"/>
        <v>1.4776517203044383E-2</v>
      </c>
      <c r="Q45" s="7">
        <v>31.360175689037014</v>
      </c>
      <c r="R45" s="7">
        <v>22.995139819275391</v>
      </c>
      <c r="S45" s="3">
        <v>79260.000000004307</v>
      </c>
      <c r="T45" s="6">
        <f t="shared" si="7"/>
        <v>0.14120891650751885</v>
      </c>
    </row>
    <row r="46" spans="1:20" x14ac:dyDescent="0.35">
      <c r="A46" s="2">
        <v>45091</v>
      </c>
      <c r="B46" s="3">
        <v>294276</v>
      </c>
      <c r="C46" s="7">
        <v>266440</v>
      </c>
      <c r="D46" s="3">
        <f t="shared" si="0"/>
        <v>560716</v>
      </c>
      <c r="E46" s="4">
        <f t="shared" si="1"/>
        <v>3405.9722222222222</v>
      </c>
      <c r="F46" s="4">
        <f t="shared" si="2"/>
        <v>3083.7962962962961</v>
      </c>
      <c r="G46" s="4">
        <f t="shared" si="3"/>
        <v>6489.7685185185182</v>
      </c>
      <c r="H46" s="3">
        <v>186784</v>
      </c>
      <c r="I46" s="3">
        <v>365592</v>
      </c>
      <c r="J46" s="3">
        <v>13</v>
      </c>
      <c r="K46" s="4">
        <f t="shared" si="4"/>
        <v>552389</v>
      </c>
      <c r="L46" s="4">
        <f t="shared" si="8"/>
        <v>2161.8518518518517</v>
      </c>
      <c r="M46" s="4">
        <f t="shared" si="9"/>
        <v>4231.3888888888887</v>
      </c>
      <c r="N46" s="4">
        <f t="shared" si="10"/>
        <v>0.15046296296296297</v>
      </c>
      <c r="O46" s="4">
        <f t="shared" si="11"/>
        <v>6393.3912037037035</v>
      </c>
      <c r="P46" s="5">
        <f t="shared" si="6"/>
        <v>1.4850655233665527E-2</v>
      </c>
      <c r="Q46" s="7">
        <v>33.977243381676288</v>
      </c>
      <c r="R46" s="7">
        <v>25.341010422388518</v>
      </c>
      <c r="S46" s="3">
        <v>80219.999999996624</v>
      </c>
      <c r="T46" s="6">
        <f t="shared" si="7"/>
        <v>0.14306707852102779</v>
      </c>
    </row>
    <row r="47" spans="1:20" x14ac:dyDescent="0.35">
      <c r="A47" s="2">
        <v>45092</v>
      </c>
      <c r="B47" s="3">
        <v>290512</v>
      </c>
      <c r="C47" s="7">
        <v>264640</v>
      </c>
      <c r="D47" s="3">
        <f t="shared" si="0"/>
        <v>555152</v>
      </c>
      <c r="E47" s="4">
        <f t="shared" si="1"/>
        <v>3362.4074074074074</v>
      </c>
      <c r="F47" s="4">
        <f t="shared" si="2"/>
        <v>3062.9629629629626</v>
      </c>
      <c r="G47" s="4">
        <f t="shared" si="3"/>
        <v>6425.3703703703704</v>
      </c>
      <c r="H47" s="3">
        <v>186510</v>
      </c>
      <c r="I47" s="3">
        <v>363704</v>
      </c>
      <c r="J47" s="3">
        <v>19</v>
      </c>
      <c r="K47" s="4">
        <f t="shared" si="4"/>
        <v>550233</v>
      </c>
      <c r="L47" s="4">
        <f t="shared" si="8"/>
        <v>2158.6805555555552</v>
      </c>
      <c r="M47" s="4">
        <f t="shared" si="9"/>
        <v>4209.5370370370365</v>
      </c>
      <c r="N47" s="4">
        <f t="shared" si="10"/>
        <v>0.21990740740740738</v>
      </c>
      <c r="O47" s="4">
        <f t="shared" si="11"/>
        <v>6368.4374999999991</v>
      </c>
      <c r="P47" s="5">
        <f t="shared" si="6"/>
        <v>8.8606363662564486E-3</v>
      </c>
      <c r="Q47" s="7">
        <v>28.856937059245126</v>
      </c>
      <c r="R47" s="7">
        <v>22.943716315531603</v>
      </c>
      <c r="S47" s="3">
        <v>79260.000000000218</v>
      </c>
      <c r="T47" s="6">
        <f t="shared" si="7"/>
        <v>0.14277170936968653</v>
      </c>
    </row>
    <row r="48" spans="1:20" x14ac:dyDescent="0.35">
      <c r="A48" s="2">
        <v>45093</v>
      </c>
      <c r="B48" s="3">
        <v>290964</v>
      </c>
      <c r="C48" s="7">
        <v>265068</v>
      </c>
      <c r="D48" s="3">
        <f t="shared" si="0"/>
        <v>556032</v>
      </c>
      <c r="E48" s="4">
        <f t="shared" si="1"/>
        <v>3367.6388888888887</v>
      </c>
      <c r="F48" s="4">
        <f t="shared" si="2"/>
        <v>3067.9166666666665</v>
      </c>
      <c r="G48" s="4">
        <f t="shared" si="3"/>
        <v>6435.5555555555547</v>
      </c>
      <c r="H48" s="3">
        <v>185586</v>
      </c>
      <c r="I48" s="3">
        <v>363840</v>
      </c>
      <c r="J48" s="3">
        <v>14</v>
      </c>
      <c r="K48" s="4">
        <f t="shared" si="4"/>
        <v>549440</v>
      </c>
      <c r="L48" s="4">
        <f t="shared" si="8"/>
        <v>2147.9861111111109</v>
      </c>
      <c r="M48" s="4">
        <f t="shared" si="9"/>
        <v>4211.1111111111104</v>
      </c>
      <c r="N48" s="4">
        <f t="shared" si="10"/>
        <v>0.16203703703703703</v>
      </c>
      <c r="O48" s="4">
        <f t="shared" si="11"/>
        <v>6359.2592592592582</v>
      </c>
      <c r="P48" s="5">
        <f t="shared" si="6"/>
        <v>1.1855432780847145E-2</v>
      </c>
      <c r="Q48" s="7">
        <v>31.609692093349999</v>
      </c>
      <c r="R48" s="7">
        <v>24.332754229972377</v>
      </c>
      <c r="S48" s="3">
        <v>78240.000000003871</v>
      </c>
      <c r="T48" s="6">
        <f t="shared" si="7"/>
        <v>0.14071132596685779</v>
      </c>
    </row>
    <row r="49" spans="1:20" x14ac:dyDescent="0.35">
      <c r="A49" s="2">
        <v>45094</v>
      </c>
      <c r="B49" s="3">
        <v>297248</v>
      </c>
      <c r="C49" s="7">
        <v>266740</v>
      </c>
      <c r="D49" s="3">
        <f t="shared" si="0"/>
        <v>563988</v>
      </c>
      <c r="E49" s="4">
        <f t="shared" si="1"/>
        <v>3440.37037037037</v>
      </c>
      <c r="F49" s="4">
        <f t="shared" si="2"/>
        <v>3087.2685185185182</v>
      </c>
      <c r="G49" s="4">
        <f t="shared" si="3"/>
        <v>6527.6388888888887</v>
      </c>
      <c r="H49" s="3">
        <v>186122</v>
      </c>
      <c r="I49" s="3">
        <v>364092</v>
      </c>
      <c r="J49" s="3">
        <v>9</v>
      </c>
      <c r="K49" s="4">
        <f t="shared" si="4"/>
        <v>550223</v>
      </c>
      <c r="L49" s="4">
        <f t="shared" si="8"/>
        <v>2154.1898148148148</v>
      </c>
      <c r="M49" s="4">
        <f t="shared" si="9"/>
        <v>4214.0277777777774</v>
      </c>
      <c r="N49" s="4">
        <f t="shared" si="10"/>
        <v>0.10416666666666666</v>
      </c>
      <c r="O49" s="4">
        <f t="shared" si="11"/>
        <v>6368.3217592592591</v>
      </c>
      <c r="P49" s="5">
        <f t="shared" si="6"/>
        <v>2.4406547657042348E-2</v>
      </c>
      <c r="Q49" s="7">
        <v>27.816448474637848</v>
      </c>
      <c r="R49" s="7">
        <v>22.082384731590032</v>
      </c>
      <c r="S49" s="3">
        <v>78419.999999995518</v>
      </c>
      <c r="T49" s="6">
        <f t="shared" si="7"/>
        <v>0.13904551160662199</v>
      </c>
    </row>
    <row r="50" spans="1:20" x14ac:dyDescent="0.35">
      <c r="A50" s="2">
        <v>45095</v>
      </c>
      <c r="B50" s="3">
        <v>294912</v>
      </c>
      <c r="C50" s="7">
        <v>264752</v>
      </c>
      <c r="D50" s="3">
        <f t="shared" si="0"/>
        <v>559664</v>
      </c>
      <c r="E50" s="4">
        <f t="shared" si="1"/>
        <v>3413.333333333333</v>
      </c>
      <c r="F50" s="4">
        <f t="shared" si="2"/>
        <v>3064.2592592592591</v>
      </c>
      <c r="G50" s="4">
        <f t="shared" si="3"/>
        <v>6477.5925925925922</v>
      </c>
      <c r="H50" s="3">
        <v>185860</v>
      </c>
      <c r="I50" s="3">
        <v>364076</v>
      </c>
      <c r="J50" s="3">
        <v>17</v>
      </c>
      <c r="K50" s="4">
        <f t="shared" si="4"/>
        <v>549953</v>
      </c>
      <c r="L50" s="4">
        <f t="shared" si="8"/>
        <v>2151.1574074074074</v>
      </c>
      <c r="M50" s="4">
        <f t="shared" si="9"/>
        <v>4213.8425925925922</v>
      </c>
      <c r="N50" s="4">
        <f t="shared" si="10"/>
        <v>0.19675925925925924</v>
      </c>
      <c r="O50" s="4">
        <f t="shared" si="11"/>
        <v>6365.1967592592591</v>
      </c>
      <c r="P50" s="5">
        <f t="shared" si="6"/>
        <v>1.7351482317962207E-2</v>
      </c>
      <c r="Q50" s="7">
        <v>26.203749463373423</v>
      </c>
      <c r="R50" s="7">
        <v>22.354144629634924</v>
      </c>
      <c r="S50" s="3">
        <v>77880.00000000147</v>
      </c>
      <c r="T50" s="6">
        <f t="shared" si="7"/>
        <v>0.1391549215243458</v>
      </c>
    </row>
    <row r="51" spans="1:20" x14ac:dyDescent="0.35">
      <c r="A51" s="2">
        <v>45096</v>
      </c>
      <c r="B51" s="3">
        <v>296608</v>
      </c>
      <c r="C51" s="7">
        <v>264852</v>
      </c>
      <c r="D51" s="3">
        <f t="shared" si="0"/>
        <v>561460</v>
      </c>
      <c r="E51" s="4">
        <f t="shared" si="1"/>
        <v>3432.9629629629626</v>
      </c>
      <c r="F51" s="4">
        <f t="shared" si="2"/>
        <v>3065.4166666666665</v>
      </c>
      <c r="G51" s="4">
        <f t="shared" si="3"/>
        <v>6498.3796296296296</v>
      </c>
      <c r="H51" s="3">
        <v>186482</v>
      </c>
      <c r="I51" s="3">
        <v>364572</v>
      </c>
      <c r="J51" s="3">
        <v>15</v>
      </c>
      <c r="K51" s="4">
        <f t="shared" si="4"/>
        <v>551069</v>
      </c>
      <c r="L51" s="4">
        <f t="shared" si="8"/>
        <v>2158.3564814814813</v>
      </c>
      <c r="M51" s="4">
        <f t="shared" si="9"/>
        <v>4219.583333333333</v>
      </c>
      <c r="N51" s="4">
        <f t="shared" si="10"/>
        <v>0.1736111111111111</v>
      </c>
      <c r="O51" s="4">
        <f t="shared" si="11"/>
        <v>6378.1134259259252</v>
      </c>
      <c r="P51" s="5">
        <f t="shared" si="6"/>
        <v>1.8507106472411213E-2</v>
      </c>
      <c r="Q51" s="7">
        <v>25.696595027574215</v>
      </c>
      <c r="R51" s="7">
        <v>24.39999287571688</v>
      </c>
      <c r="S51" s="3">
        <v>79320.000000001528</v>
      </c>
      <c r="T51" s="6">
        <f t="shared" si="7"/>
        <v>0.14127453424999381</v>
      </c>
    </row>
    <row r="52" spans="1:20" x14ac:dyDescent="0.35">
      <c r="A52" s="2">
        <v>45097</v>
      </c>
      <c r="B52" s="3">
        <v>294648</v>
      </c>
      <c r="C52" s="7">
        <v>262756</v>
      </c>
      <c r="D52" s="3">
        <f t="shared" si="0"/>
        <v>557404</v>
      </c>
      <c r="E52" s="4">
        <f t="shared" si="1"/>
        <v>3410.2777777777774</v>
      </c>
      <c r="F52" s="4">
        <f t="shared" si="2"/>
        <v>3041.1574074074074</v>
      </c>
      <c r="G52" s="4">
        <f t="shared" si="3"/>
        <v>6451.4351851851843</v>
      </c>
      <c r="H52" s="3">
        <v>186076</v>
      </c>
      <c r="I52" s="3">
        <v>364220</v>
      </c>
      <c r="J52" s="3">
        <v>18</v>
      </c>
      <c r="K52" s="4">
        <f t="shared" si="4"/>
        <v>550314</v>
      </c>
      <c r="L52" s="4">
        <f t="shared" si="8"/>
        <v>2153.6574074074074</v>
      </c>
      <c r="M52" s="4">
        <f t="shared" si="9"/>
        <v>4215.5092592592591</v>
      </c>
      <c r="N52" s="4">
        <f t="shared" si="10"/>
        <v>0.20833333333333331</v>
      </c>
      <c r="O52" s="4">
        <f t="shared" si="11"/>
        <v>6369.3749999999991</v>
      </c>
      <c r="P52" s="5">
        <f t="shared" si="6"/>
        <v>1.2719679083752539E-2</v>
      </c>
      <c r="Q52" s="7">
        <v>23.579034711740157</v>
      </c>
      <c r="R52" s="7">
        <v>24.577541603576581</v>
      </c>
      <c r="S52" s="3">
        <v>78480.000000000931</v>
      </c>
      <c r="T52" s="6">
        <f t="shared" si="7"/>
        <v>0.14079554506246983</v>
      </c>
    </row>
    <row r="53" spans="1:20" x14ac:dyDescent="0.35">
      <c r="A53" s="2">
        <v>45098</v>
      </c>
      <c r="B53" s="3">
        <v>297056</v>
      </c>
      <c r="C53" s="7">
        <v>261116</v>
      </c>
      <c r="D53" s="3">
        <f t="shared" si="0"/>
        <v>558172</v>
      </c>
      <c r="E53" s="4">
        <f t="shared" si="1"/>
        <v>3438.1481481481478</v>
      </c>
      <c r="F53" s="4">
        <f t="shared" si="2"/>
        <v>3022.1759259259256</v>
      </c>
      <c r="G53" s="4">
        <f t="shared" si="3"/>
        <v>6460.324074074073</v>
      </c>
      <c r="H53" s="3">
        <v>185408</v>
      </c>
      <c r="I53" s="3">
        <v>364612</v>
      </c>
      <c r="J53" s="3">
        <v>0</v>
      </c>
      <c r="K53" s="4">
        <f t="shared" si="4"/>
        <v>550020</v>
      </c>
      <c r="L53" s="4">
        <f t="shared" si="8"/>
        <v>2145.9259259259256</v>
      </c>
      <c r="M53" s="4">
        <f t="shared" si="9"/>
        <v>4220.0462962962956</v>
      </c>
      <c r="N53" s="4">
        <f t="shared" si="10"/>
        <v>0</v>
      </c>
      <c r="O53" s="4">
        <f t="shared" si="11"/>
        <v>6365.9722222222208</v>
      </c>
      <c r="P53" s="5">
        <f t="shared" si="6"/>
        <v>1.4604817153135592E-2</v>
      </c>
      <c r="Q53" s="7">
        <v>28.614707541761319</v>
      </c>
      <c r="R53" s="7">
        <v>22.515317859011201</v>
      </c>
      <c r="S53" s="3">
        <v>79379.999999996013</v>
      </c>
      <c r="T53" s="6">
        <f t="shared" si="7"/>
        <v>0.14221422787240495</v>
      </c>
    </row>
    <row r="54" spans="1:20" x14ac:dyDescent="0.35">
      <c r="A54" s="2">
        <v>45099</v>
      </c>
      <c r="B54" s="3">
        <v>297248</v>
      </c>
      <c r="C54" s="7">
        <v>260404</v>
      </c>
      <c r="D54" s="3">
        <f t="shared" si="0"/>
        <v>557652</v>
      </c>
      <c r="E54" s="4">
        <f t="shared" si="1"/>
        <v>3440.37037037037</v>
      </c>
      <c r="F54" s="4">
        <f t="shared" si="2"/>
        <v>3013.9351851851848</v>
      </c>
      <c r="G54" s="4">
        <f t="shared" si="3"/>
        <v>6454.3055555555547</v>
      </c>
      <c r="H54" s="3">
        <v>185054</v>
      </c>
      <c r="I54" s="3">
        <v>364628</v>
      </c>
      <c r="J54" s="3">
        <v>8</v>
      </c>
      <c r="K54" s="4">
        <f t="shared" si="4"/>
        <v>549690</v>
      </c>
      <c r="L54" s="4">
        <f t="shared" si="8"/>
        <v>2141.8287037037035</v>
      </c>
      <c r="M54" s="4">
        <f t="shared" si="9"/>
        <v>4220.2314814814808</v>
      </c>
      <c r="N54" s="4">
        <f t="shared" si="10"/>
        <v>9.2592592592592587E-2</v>
      </c>
      <c r="O54" s="4">
        <f t="shared" si="11"/>
        <v>6362.1527777777765</v>
      </c>
      <c r="P54" s="5">
        <f t="shared" si="6"/>
        <v>1.4277721589808699E-2</v>
      </c>
      <c r="Q54" s="7">
        <v>28.641390218272324</v>
      </c>
      <c r="R54" s="7">
        <v>22.536312969378752</v>
      </c>
      <c r="S54" s="3">
        <v>80700.00000000163</v>
      </c>
      <c r="T54" s="6">
        <f t="shared" si="7"/>
        <v>0.14471390759829003</v>
      </c>
    </row>
    <row r="55" spans="1:20" x14ac:dyDescent="0.35">
      <c r="A55" s="2">
        <v>45100</v>
      </c>
      <c r="B55" s="3">
        <v>296080</v>
      </c>
      <c r="C55" s="7">
        <v>259992</v>
      </c>
      <c r="D55" s="3">
        <f t="shared" si="0"/>
        <v>556072</v>
      </c>
      <c r="E55" s="4">
        <f t="shared" si="1"/>
        <v>3426.8518518518517</v>
      </c>
      <c r="F55" s="4">
        <f t="shared" si="2"/>
        <v>3009.1666666666665</v>
      </c>
      <c r="G55" s="4">
        <f t="shared" si="3"/>
        <v>6436.0185185185182</v>
      </c>
      <c r="H55" s="3">
        <v>184530</v>
      </c>
      <c r="I55" s="3">
        <v>363508</v>
      </c>
      <c r="J55" s="3">
        <v>10</v>
      </c>
      <c r="K55" s="4">
        <f t="shared" si="4"/>
        <v>548048</v>
      </c>
      <c r="L55" s="4">
        <f t="shared" si="8"/>
        <v>2135.7638888888887</v>
      </c>
      <c r="M55" s="4">
        <f t="shared" si="9"/>
        <v>4207.2685185185182</v>
      </c>
      <c r="N55" s="4">
        <f t="shared" si="10"/>
        <v>0.11574074074074073</v>
      </c>
      <c r="O55" s="4">
        <f t="shared" si="11"/>
        <v>6343.1481481481478</v>
      </c>
      <c r="P55" s="5">
        <f t="shared" si="6"/>
        <v>1.4429786070868521E-2</v>
      </c>
      <c r="Q55" s="7">
        <v>24.906660880245724</v>
      </c>
      <c r="R55" s="7">
        <v>23.31297026284366</v>
      </c>
      <c r="S55" s="3">
        <v>79560.00000000131</v>
      </c>
      <c r="T55" s="6">
        <f t="shared" si="7"/>
        <v>0.14307499748234276</v>
      </c>
    </row>
    <row r="56" spans="1:20" x14ac:dyDescent="0.35">
      <c r="A56" s="2">
        <v>45101</v>
      </c>
      <c r="B56" s="3">
        <v>297904</v>
      </c>
      <c r="C56" s="7">
        <v>261992</v>
      </c>
      <c r="D56" s="3">
        <f t="shared" si="0"/>
        <v>559896</v>
      </c>
      <c r="E56" s="4">
        <f t="shared" si="1"/>
        <v>3447.9629629629626</v>
      </c>
      <c r="F56" s="4">
        <f t="shared" si="2"/>
        <v>3032.3148148148148</v>
      </c>
      <c r="G56" s="4">
        <f t="shared" si="3"/>
        <v>6480.2777777777774</v>
      </c>
      <c r="H56" s="3">
        <v>185040</v>
      </c>
      <c r="I56" s="3">
        <v>364044</v>
      </c>
      <c r="J56" s="3">
        <v>9</v>
      </c>
      <c r="K56" s="4">
        <f t="shared" si="4"/>
        <v>549093</v>
      </c>
      <c r="L56" s="4">
        <f t="shared" si="8"/>
        <v>2141.6666666666665</v>
      </c>
      <c r="M56" s="4">
        <f t="shared" si="9"/>
        <v>4213.4722222222217</v>
      </c>
      <c r="N56" s="4">
        <f t="shared" si="10"/>
        <v>0.10416666666666666</v>
      </c>
      <c r="O56" s="4">
        <f t="shared" si="11"/>
        <v>6355.2430555555557</v>
      </c>
      <c r="P56" s="5">
        <f t="shared" si="6"/>
        <v>1.9294654721591153E-2</v>
      </c>
      <c r="Q56" s="7">
        <v>23.569823901224513</v>
      </c>
      <c r="R56" s="7">
        <v>23.457070598825496</v>
      </c>
      <c r="S56" s="3">
        <v>78420.00000000099</v>
      </c>
      <c r="T56" s="6">
        <f t="shared" si="7"/>
        <v>0.14006172574906944</v>
      </c>
    </row>
    <row r="57" spans="1:20" x14ac:dyDescent="0.35">
      <c r="A57" s="2">
        <v>45102</v>
      </c>
      <c r="B57" s="3">
        <v>297832</v>
      </c>
      <c r="C57" s="7">
        <v>262600</v>
      </c>
      <c r="D57" s="3">
        <f t="shared" si="0"/>
        <v>560432</v>
      </c>
      <c r="E57" s="4">
        <f t="shared" si="1"/>
        <v>3447.1296296296296</v>
      </c>
      <c r="F57" s="4">
        <f t="shared" si="2"/>
        <v>3039.3518518518517</v>
      </c>
      <c r="G57" s="4">
        <f t="shared" si="3"/>
        <v>6486.4814814814818</v>
      </c>
      <c r="H57" s="3">
        <v>184502</v>
      </c>
      <c r="I57" s="3">
        <v>364164</v>
      </c>
      <c r="J57" s="3">
        <v>9</v>
      </c>
      <c r="K57" s="4">
        <f t="shared" si="4"/>
        <v>548675</v>
      </c>
      <c r="L57" s="4">
        <f t="shared" si="8"/>
        <v>2135.4398148148148</v>
      </c>
      <c r="M57" s="4">
        <f t="shared" si="9"/>
        <v>4214.8611111111104</v>
      </c>
      <c r="N57" s="4">
        <f t="shared" si="10"/>
        <v>0.10416666666666666</v>
      </c>
      <c r="O57" s="4">
        <f t="shared" si="11"/>
        <v>6350.4050925925922</v>
      </c>
      <c r="P57" s="5">
        <f t="shared" si="6"/>
        <v>2.0978459474119963E-2</v>
      </c>
      <c r="Q57" s="7">
        <v>23.795422322422702</v>
      </c>
      <c r="R57" s="7">
        <v>22.828567961857996</v>
      </c>
      <c r="S57" s="3">
        <v>78539.999999998137</v>
      </c>
      <c r="T57" s="6">
        <f t="shared" si="7"/>
        <v>0.14014189054157888</v>
      </c>
    </row>
    <row r="58" spans="1:20" x14ac:dyDescent="0.35">
      <c r="A58" s="2">
        <v>45103</v>
      </c>
      <c r="B58" s="3">
        <v>297204</v>
      </c>
      <c r="C58" s="7">
        <v>261698</v>
      </c>
      <c r="D58" s="3">
        <f t="shared" si="0"/>
        <v>558902</v>
      </c>
      <c r="E58" s="4">
        <f t="shared" si="1"/>
        <v>3439.8611111111109</v>
      </c>
      <c r="F58" s="4">
        <f t="shared" si="2"/>
        <v>3028.912037037037</v>
      </c>
      <c r="G58" s="4">
        <f t="shared" si="3"/>
        <v>6468.7731481481478</v>
      </c>
      <c r="H58" s="3">
        <v>185220</v>
      </c>
      <c r="I58" s="3">
        <v>364892</v>
      </c>
      <c r="J58" s="3">
        <v>4</v>
      </c>
      <c r="K58" s="4">
        <f t="shared" si="4"/>
        <v>550116</v>
      </c>
      <c r="L58" s="4">
        <f t="shared" si="8"/>
        <v>2143.75</v>
      </c>
      <c r="M58" s="4">
        <f t="shared" si="9"/>
        <v>4223.2870370370365</v>
      </c>
      <c r="N58" s="4">
        <f t="shared" si="10"/>
        <v>4.6296296296296294E-2</v>
      </c>
      <c r="O58" s="4">
        <f t="shared" si="11"/>
        <v>6367.083333333333</v>
      </c>
      <c r="P58" s="5">
        <f t="shared" si="6"/>
        <v>1.5720108355310947E-2</v>
      </c>
      <c r="Q58" s="7">
        <v>37.505446393106482</v>
      </c>
      <c r="R58" s="7">
        <v>22.587197755599373</v>
      </c>
      <c r="S58" s="3">
        <v>78000.000000002736</v>
      </c>
      <c r="T58" s="6">
        <f t="shared" si="7"/>
        <v>0.13955935029755259</v>
      </c>
    </row>
    <row r="59" spans="1:20" x14ac:dyDescent="0.35">
      <c r="A59" s="2">
        <v>45104</v>
      </c>
      <c r="B59" s="3">
        <v>298472</v>
      </c>
      <c r="C59" s="7">
        <v>262534</v>
      </c>
      <c r="D59" s="3">
        <f t="shared" si="0"/>
        <v>561006</v>
      </c>
      <c r="E59" s="4">
        <f t="shared" si="1"/>
        <v>3454.537037037037</v>
      </c>
      <c r="F59" s="4">
        <f t="shared" si="2"/>
        <v>3038.5879629629626</v>
      </c>
      <c r="G59" s="4">
        <f t="shared" si="3"/>
        <v>6493.125</v>
      </c>
      <c r="H59" s="3">
        <v>185232</v>
      </c>
      <c r="I59" s="3">
        <v>364516</v>
      </c>
      <c r="J59" s="3">
        <v>9</v>
      </c>
      <c r="K59" s="4">
        <f t="shared" si="4"/>
        <v>549757</v>
      </c>
      <c r="L59" s="4">
        <f t="shared" si="8"/>
        <v>2143.8888888888887</v>
      </c>
      <c r="M59" s="4">
        <f t="shared" si="9"/>
        <v>4218.9351851851852</v>
      </c>
      <c r="N59" s="4">
        <f t="shared" si="10"/>
        <v>0.10416666666666666</v>
      </c>
      <c r="O59" s="4">
        <f t="shared" si="11"/>
        <v>6362.9282407407409</v>
      </c>
      <c r="P59" s="5">
        <f t="shared" si="6"/>
        <v>2.0051478950314255E-2</v>
      </c>
      <c r="Q59" s="7">
        <v>30.468784273251977</v>
      </c>
      <c r="R59" s="7">
        <v>21.493406487631148</v>
      </c>
      <c r="S59" s="3">
        <v>79799.999999995634</v>
      </c>
      <c r="T59" s="6">
        <f t="shared" si="7"/>
        <v>0.14224446797359677</v>
      </c>
    </row>
    <row r="60" spans="1:20" x14ac:dyDescent="0.35">
      <c r="A60" s="2">
        <v>45105</v>
      </c>
      <c r="B60" s="3">
        <v>293004</v>
      </c>
      <c r="C60" s="7">
        <v>261956</v>
      </c>
      <c r="D60" s="3">
        <f t="shared" si="0"/>
        <v>554960</v>
      </c>
      <c r="E60" s="4">
        <f t="shared" si="1"/>
        <v>3391.25</v>
      </c>
      <c r="F60" s="4">
        <f t="shared" si="2"/>
        <v>3031.8981481481478</v>
      </c>
      <c r="G60" s="4">
        <f t="shared" si="3"/>
        <v>6423.1481481481478</v>
      </c>
      <c r="H60" s="3">
        <v>185316</v>
      </c>
      <c r="I60" s="3">
        <v>365064</v>
      </c>
      <c r="J60" s="3">
        <v>21</v>
      </c>
      <c r="K60" s="4">
        <f t="shared" si="4"/>
        <v>550401</v>
      </c>
      <c r="L60" s="4">
        <f t="shared" si="8"/>
        <v>2144.8611111111109</v>
      </c>
      <c r="M60" s="4">
        <f t="shared" si="9"/>
        <v>4225.2777777777774</v>
      </c>
      <c r="N60" s="4">
        <f t="shared" si="10"/>
        <v>0.24305555555555555</v>
      </c>
      <c r="O60" s="4">
        <f t="shared" si="11"/>
        <v>6370.3819444444443</v>
      </c>
      <c r="P60" s="5">
        <f t="shared" si="6"/>
        <v>8.215006486954014E-3</v>
      </c>
      <c r="Q60" s="7">
        <v>72.342954072365572</v>
      </c>
      <c r="R60" s="7">
        <v>22.135595358224016</v>
      </c>
      <c r="S60" s="3">
        <v>78300.000000001091</v>
      </c>
      <c r="T60" s="6">
        <f t="shared" si="7"/>
        <v>0.14109124981980881</v>
      </c>
    </row>
    <row r="61" spans="1:20" x14ac:dyDescent="0.35">
      <c r="A61" s="2">
        <v>45106</v>
      </c>
      <c r="B61" s="3">
        <v>294844</v>
      </c>
      <c r="C61" s="7">
        <v>265073</v>
      </c>
      <c r="D61" s="3">
        <f t="shared" si="0"/>
        <v>559917</v>
      </c>
      <c r="E61" s="4">
        <f t="shared" si="1"/>
        <v>3412.5462962962961</v>
      </c>
      <c r="F61" s="4">
        <f t="shared" si="2"/>
        <v>3067.974537037037</v>
      </c>
      <c r="G61" s="4">
        <f t="shared" si="3"/>
        <v>6480.520833333333</v>
      </c>
      <c r="H61" s="3">
        <v>183708</v>
      </c>
      <c r="I61" s="3">
        <v>364168</v>
      </c>
      <c r="J61" s="3">
        <v>33</v>
      </c>
      <c r="K61" s="4">
        <f t="shared" si="4"/>
        <v>547909</v>
      </c>
      <c r="L61" s="4">
        <f t="shared" si="8"/>
        <v>2126.25</v>
      </c>
      <c r="M61" s="4">
        <f t="shared" si="9"/>
        <v>4214.9074074074069</v>
      </c>
      <c r="N61" s="4">
        <f t="shared" si="10"/>
        <v>0.38194444444444442</v>
      </c>
      <c r="O61" s="4">
        <f t="shared" si="11"/>
        <v>6341.5393518518513</v>
      </c>
      <c r="P61" s="5">
        <f t="shared" si="6"/>
        <v>2.1446035751727488E-2</v>
      </c>
      <c r="Q61" s="7">
        <v>31.910097014378916</v>
      </c>
      <c r="R61" s="7">
        <v>21.737418224486845</v>
      </c>
      <c r="S61" s="3">
        <v>78480.000000000931</v>
      </c>
      <c r="T61" s="6">
        <f t="shared" si="7"/>
        <v>0.14016363139536919</v>
      </c>
    </row>
    <row r="62" spans="1:20" x14ac:dyDescent="0.35">
      <c r="A62" s="2">
        <v>45107</v>
      </c>
      <c r="B62" s="3">
        <v>296944</v>
      </c>
      <c r="C62" s="7">
        <v>263447</v>
      </c>
      <c r="D62" s="3">
        <f t="shared" si="0"/>
        <v>560391</v>
      </c>
      <c r="E62" s="4">
        <f t="shared" si="1"/>
        <v>3436.8518518518517</v>
      </c>
      <c r="F62" s="4">
        <f t="shared" si="2"/>
        <v>3049.1550925925926</v>
      </c>
      <c r="G62" s="4">
        <f t="shared" si="3"/>
        <v>6486.0069444444443</v>
      </c>
      <c r="H62" s="3">
        <v>184970</v>
      </c>
      <c r="I62" s="3">
        <v>364704</v>
      </c>
      <c r="J62" s="3">
        <v>19</v>
      </c>
      <c r="K62" s="4">
        <f t="shared" si="4"/>
        <v>549693</v>
      </c>
      <c r="L62" s="4">
        <f t="shared" si="8"/>
        <v>2140.8564814814813</v>
      </c>
      <c r="M62" s="4">
        <f t="shared" si="9"/>
        <v>4221.1111111111104</v>
      </c>
      <c r="N62" s="4">
        <f t="shared" si="10"/>
        <v>0.21990740740740738</v>
      </c>
      <c r="O62" s="4">
        <f t="shared" si="11"/>
        <v>6362.1874999999991</v>
      </c>
      <c r="P62" s="5">
        <f t="shared" si="6"/>
        <v>1.9090242348645856E-2</v>
      </c>
      <c r="Q62" s="7">
        <v>28.185645736637454</v>
      </c>
      <c r="R62" s="7">
        <v>22.931256925967762</v>
      </c>
      <c r="S62" s="3">
        <v>78839.999999999243</v>
      </c>
      <c r="T62" s="6">
        <f t="shared" si="7"/>
        <v>0.14068748427437136</v>
      </c>
    </row>
    <row r="63" spans="1:20" x14ac:dyDescent="0.35">
      <c r="A63" s="2">
        <v>45108</v>
      </c>
      <c r="B63" s="7">
        <v>296368</v>
      </c>
      <c r="C63" s="7">
        <v>261320</v>
      </c>
      <c r="D63" s="3">
        <f t="shared" si="0"/>
        <v>557688</v>
      </c>
      <c r="E63" s="4">
        <f t="shared" si="1"/>
        <v>3430.1851851851848</v>
      </c>
      <c r="F63" s="4">
        <f t="shared" si="2"/>
        <v>3024.537037037037</v>
      </c>
      <c r="G63" s="4">
        <f t="shared" si="3"/>
        <v>6454.7222222222217</v>
      </c>
      <c r="H63" s="3">
        <v>184958</v>
      </c>
      <c r="I63" s="3">
        <v>365280</v>
      </c>
      <c r="J63" s="3">
        <v>10</v>
      </c>
      <c r="K63" s="4">
        <f t="shared" si="4"/>
        <v>550248</v>
      </c>
      <c r="L63" s="4">
        <f t="shared" si="8"/>
        <v>2140.7175925925926</v>
      </c>
      <c r="M63" s="4">
        <f t="shared" si="9"/>
        <v>4227.7777777777774</v>
      </c>
      <c r="N63" s="4">
        <f t="shared" si="10"/>
        <v>0.11574074074074073</v>
      </c>
      <c r="O63" s="4">
        <f t="shared" si="11"/>
        <v>6368.6111111111113</v>
      </c>
      <c r="P63" s="5">
        <f t="shared" si="6"/>
        <v>1.3340792701295347E-2</v>
      </c>
      <c r="Q63" s="7">
        <v>36.043192342743019</v>
      </c>
      <c r="R63" s="7">
        <v>21.418266127296985</v>
      </c>
      <c r="S63" s="3">
        <v>78839.999999999243</v>
      </c>
      <c r="T63" s="6">
        <f t="shared" si="7"/>
        <v>0.14136936781856385</v>
      </c>
    </row>
    <row r="64" spans="1:20" x14ac:dyDescent="0.35">
      <c r="A64" s="2">
        <v>45109</v>
      </c>
      <c r="B64" s="7">
        <v>297416</v>
      </c>
      <c r="C64" s="7">
        <v>262288</v>
      </c>
      <c r="D64" s="3">
        <f t="shared" si="0"/>
        <v>559704</v>
      </c>
      <c r="E64" s="4">
        <f t="shared" si="1"/>
        <v>3442.3148148148148</v>
      </c>
      <c r="F64" s="4">
        <f t="shared" si="2"/>
        <v>3035.7407407407404</v>
      </c>
      <c r="G64" s="4">
        <f t="shared" si="3"/>
        <v>6478.0555555555547</v>
      </c>
      <c r="H64" s="3">
        <v>185294</v>
      </c>
      <c r="I64" s="3">
        <v>364492</v>
      </c>
      <c r="J64" s="3">
        <v>9</v>
      </c>
      <c r="K64" s="4">
        <f t="shared" si="4"/>
        <v>549795</v>
      </c>
      <c r="L64" s="4">
        <f t="shared" si="8"/>
        <v>2144.6064814814813</v>
      </c>
      <c r="M64" s="4">
        <f t="shared" si="9"/>
        <v>4218.6574074074069</v>
      </c>
      <c r="N64" s="4">
        <f t="shared" si="10"/>
        <v>0.10416666666666666</v>
      </c>
      <c r="O64" s="4">
        <f t="shared" si="11"/>
        <v>6363.3680555555557</v>
      </c>
      <c r="P64" s="5">
        <f t="shared" si="6"/>
        <v>1.7704000686076925E-2</v>
      </c>
      <c r="Q64" s="7">
        <v>21.037871936559618</v>
      </c>
      <c r="R64" s="7">
        <v>27.814255392135845</v>
      </c>
      <c r="S64" s="3">
        <v>78720.000000002066</v>
      </c>
      <c r="T64" s="6">
        <f t="shared" si="7"/>
        <v>0.14064576990695452</v>
      </c>
    </row>
    <row r="65" spans="1:20" x14ac:dyDescent="0.35">
      <c r="A65" s="2">
        <v>45110</v>
      </c>
      <c r="B65" s="7">
        <v>299904</v>
      </c>
      <c r="C65" s="7">
        <v>263912</v>
      </c>
      <c r="D65" s="3">
        <f t="shared" si="0"/>
        <v>563816</v>
      </c>
      <c r="E65" s="4">
        <f t="shared" si="1"/>
        <v>3471.1111111111109</v>
      </c>
      <c r="F65" s="4">
        <f t="shared" si="2"/>
        <v>3054.537037037037</v>
      </c>
      <c r="G65" s="4">
        <f t="shared" si="3"/>
        <v>6525.6481481481478</v>
      </c>
      <c r="H65" s="3">
        <v>185832</v>
      </c>
      <c r="I65" s="3">
        <v>365020</v>
      </c>
      <c r="J65" s="3">
        <v>8</v>
      </c>
      <c r="K65" s="4">
        <f t="shared" si="4"/>
        <v>550860</v>
      </c>
      <c r="L65" s="4">
        <f t="shared" si="8"/>
        <v>2150.833333333333</v>
      </c>
      <c r="M65" s="4">
        <f t="shared" si="9"/>
        <v>4224.7685185185182</v>
      </c>
      <c r="N65" s="4">
        <f t="shared" si="10"/>
        <v>9.2592592592592587E-2</v>
      </c>
      <c r="O65" s="4">
        <f t="shared" si="11"/>
        <v>6375.6944444444434</v>
      </c>
      <c r="P65" s="5">
        <f t="shared" si="6"/>
        <v>2.2979127942449308E-2</v>
      </c>
      <c r="Q65" s="7">
        <v>23.314149833419663</v>
      </c>
      <c r="R65" s="7">
        <v>19.980614242944508</v>
      </c>
      <c r="S65" s="3">
        <v>78359.999999995576</v>
      </c>
      <c r="T65" s="6">
        <f t="shared" si="7"/>
        <v>0.13898151169884426</v>
      </c>
    </row>
    <row r="66" spans="1:20" x14ac:dyDescent="0.35">
      <c r="A66" s="2">
        <v>45111</v>
      </c>
      <c r="B66" s="7">
        <v>297648</v>
      </c>
      <c r="C66" s="7">
        <v>261600</v>
      </c>
      <c r="D66" s="3">
        <f t="shared" si="0"/>
        <v>559248</v>
      </c>
      <c r="E66" s="4">
        <f t="shared" si="1"/>
        <v>3445</v>
      </c>
      <c r="F66" s="4">
        <f t="shared" si="2"/>
        <v>3027.7777777777774</v>
      </c>
      <c r="G66" s="4">
        <f t="shared" si="3"/>
        <v>6472.7777777777774</v>
      </c>
      <c r="H66" s="3">
        <v>185600</v>
      </c>
      <c r="I66" s="3">
        <v>364686</v>
      </c>
      <c r="J66" s="3">
        <v>9</v>
      </c>
      <c r="K66" s="4">
        <f t="shared" si="4"/>
        <v>550295</v>
      </c>
      <c r="L66" s="4">
        <f t="shared" si="8"/>
        <v>2148.1481481481478</v>
      </c>
      <c r="M66" s="4">
        <f t="shared" si="9"/>
        <v>4220.9027777777774</v>
      </c>
      <c r="N66" s="4">
        <f t="shared" si="10"/>
        <v>0.10416666666666666</v>
      </c>
      <c r="O66" s="4">
        <f t="shared" si="11"/>
        <v>6369.1550925925922</v>
      </c>
      <c r="P66" s="5">
        <f t="shared" si="6"/>
        <v>1.6008997797041742E-2</v>
      </c>
      <c r="Q66" s="7">
        <v>31.494926702634686</v>
      </c>
      <c r="R66" s="7">
        <v>22.573223328469659</v>
      </c>
      <c r="S66" s="3">
        <v>79440.000000004147</v>
      </c>
      <c r="T66" s="6">
        <f t="shared" si="7"/>
        <v>0.14204789288473835</v>
      </c>
    </row>
    <row r="67" spans="1:20" x14ac:dyDescent="0.35">
      <c r="A67" s="2">
        <v>45112</v>
      </c>
      <c r="B67" s="7">
        <v>298912</v>
      </c>
      <c r="C67" s="7">
        <v>261652</v>
      </c>
      <c r="D67" s="3">
        <f t="shared" si="0"/>
        <v>560564</v>
      </c>
      <c r="E67" s="4">
        <f t="shared" si="1"/>
        <v>3459.6296296296296</v>
      </c>
      <c r="F67" s="4">
        <f t="shared" si="2"/>
        <v>3028.3796296296296</v>
      </c>
      <c r="G67" s="4">
        <f t="shared" si="3"/>
        <v>6488.0092592592591</v>
      </c>
      <c r="H67" s="3">
        <v>186046</v>
      </c>
      <c r="I67" s="3">
        <v>365142</v>
      </c>
      <c r="J67" s="3">
        <v>14</v>
      </c>
      <c r="K67" s="4">
        <f t="shared" si="4"/>
        <v>551202</v>
      </c>
      <c r="L67" s="4">
        <f t="shared" si="8"/>
        <v>2153.3101851851852</v>
      </c>
      <c r="M67" s="4">
        <f t="shared" si="9"/>
        <v>4226.1805555555557</v>
      </c>
      <c r="N67" s="4">
        <f t="shared" si="10"/>
        <v>0.16203703703703703</v>
      </c>
      <c r="O67" s="4">
        <f t="shared" si="11"/>
        <v>6379.6527777777783</v>
      </c>
      <c r="P67" s="5">
        <f t="shared" si="6"/>
        <v>1.6701036812924126E-2</v>
      </c>
      <c r="Q67" s="7">
        <v>37.792002827022905</v>
      </c>
      <c r="R67" s="7">
        <v>25.044919045818141</v>
      </c>
      <c r="S67" s="3">
        <v>77519.999999997701</v>
      </c>
      <c r="T67" s="6">
        <f t="shared" si="7"/>
        <v>0.13828929435353982</v>
      </c>
    </row>
    <row r="68" spans="1:20" x14ac:dyDescent="0.35">
      <c r="A68" s="2">
        <v>45113</v>
      </c>
      <c r="B68" s="7">
        <v>297160</v>
      </c>
      <c r="C68" s="7">
        <v>260836</v>
      </c>
      <c r="D68" s="3">
        <f t="shared" ref="D68:D131" si="12">SUM(B68:C68)</f>
        <v>557996</v>
      </c>
      <c r="E68" s="4">
        <f t="shared" ref="E68:E131" si="13">B68/86.4</f>
        <v>3439.3518518518517</v>
      </c>
      <c r="F68" s="4">
        <f t="shared" ref="F68:F131" si="14">C68/86.4</f>
        <v>3018.9351851851848</v>
      </c>
      <c r="G68" s="4">
        <f t="shared" ref="G68:G131" si="15">SUM(E68:F68)</f>
        <v>6458.2870370370365</v>
      </c>
      <c r="H68" s="3">
        <v>185582</v>
      </c>
      <c r="I68" s="3">
        <v>365012</v>
      </c>
      <c r="J68" s="3">
        <v>14</v>
      </c>
      <c r="K68" s="4">
        <f t="shared" ref="K68:K131" si="16">SUM(H68:J68)</f>
        <v>550608</v>
      </c>
      <c r="L68" s="4">
        <f t="shared" si="8"/>
        <v>2147.9398148148148</v>
      </c>
      <c r="M68" s="4">
        <f t="shared" si="9"/>
        <v>4224.6759259259261</v>
      </c>
      <c r="N68" s="4">
        <f t="shared" si="10"/>
        <v>0.16203703703703703</v>
      </c>
      <c r="O68" s="4">
        <f t="shared" si="11"/>
        <v>6372.7777777777783</v>
      </c>
      <c r="P68" s="5">
        <f t="shared" ref="P68:P131" si="17">(D68-K68)/D68</f>
        <v>1.3240238281278002E-2</v>
      </c>
      <c r="Q68" s="7">
        <v>24.517407823475018</v>
      </c>
      <c r="R68" s="7">
        <v>22.420967175391937</v>
      </c>
      <c r="S68" s="3">
        <v>79679.99999999984</v>
      </c>
      <c r="T68" s="6">
        <f t="shared" ref="T68:T131" si="18">S68/D68</f>
        <v>0.14279672255715067</v>
      </c>
    </row>
    <row r="69" spans="1:20" x14ac:dyDescent="0.35">
      <c r="A69" s="2">
        <v>45114</v>
      </c>
      <c r="B69" s="7">
        <v>297496</v>
      </c>
      <c r="C69" s="7">
        <v>264200</v>
      </c>
      <c r="D69" s="3">
        <f t="shared" si="12"/>
        <v>561696</v>
      </c>
      <c r="E69" s="4">
        <f t="shared" si="13"/>
        <v>3443.2407407407404</v>
      </c>
      <c r="F69" s="4">
        <f t="shared" si="14"/>
        <v>3057.87037037037</v>
      </c>
      <c r="G69" s="4">
        <f t="shared" si="15"/>
        <v>6501.1111111111104</v>
      </c>
      <c r="H69" s="3">
        <v>185136</v>
      </c>
      <c r="I69" s="3">
        <v>366040</v>
      </c>
      <c r="J69" s="3">
        <v>14</v>
      </c>
      <c r="K69" s="4">
        <f t="shared" si="16"/>
        <v>551190</v>
      </c>
      <c r="L69" s="4">
        <f t="shared" ref="L69:L132" si="19">H69/86.4</f>
        <v>2142.7777777777778</v>
      </c>
      <c r="M69" s="4">
        <f t="shared" ref="M69:M132" si="20">I69/86.4</f>
        <v>4236.5740740740739</v>
      </c>
      <c r="N69" s="4">
        <f t="shared" ref="N69:N132" si="21">J69/86.4</f>
        <v>0.16203703703703703</v>
      </c>
      <c r="O69" s="4">
        <f t="shared" ref="O69:O132" si="22">SUM(L69:N69)</f>
        <v>6379.5138888888896</v>
      </c>
      <c r="P69" s="5">
        <f t="shared" si="17"/>
        <v>1.8704067680738335E-2</v>
      </c>
      <c r="Q69" s="7">
        <v>24.862144232720453</v>
      </c>
      <c r="R69" s="7">
        <v>24.591309177918305</v>
      </c>
      <c r="S69" s="3">
        <v>79140.000000003056</v>
      </c>
      <c r="T69" s="6">
        <f t="shared" si="18"/>
        <v>0.14089471885148383</v>
      </c>
    </row>
    <row r="70" spans="1:20" x14ac:dyDescent="0.35">
      <c r="A70" s="2">
        <v>45115</v>
      </c>
      <c r="B70" s="7">
        <v>292456</v>
      </c>
      <c r="C70" s="7">
        <v>275916</v>
      </c>
      <c r="D70" s="3">
        <f t="shared" si="12"/>
        <v>568372</v>
      </c>
      <c r="E70" s="4">
        <f t="shared" si="13"/>
        <v>3384.9074074074074</v>
      </c>
      <c r="F70" s="4">
        <f t="shared" si="14"/>
        <v>3193.4722222222222</v>
      </c>
      <c r="G70" s="4">
        <f t="shared" si="15"/>
        <v>6578.3796296296296</v>
      </c>
      <c r="H70" s="3">
        <v>184818</v>
      </c>
      <c r="I70" s="3">
        <v>364472</v>
      </c>
      <c r="J70" s="3">
        <v>5</v>
      </c>
      <c r="K70" s="4">
        <f t="shared" si="16"/>
        <v>549295</v>
      </c>
      <c r="L70" s="4">
        <f t="shared" si="19"/>
        <v>2139.0972222222222</v>
      </c>
      <c r="M70" s="4">
        <f t="shared" si="20"/>
        <v>4218.4259259259261</v>
      </c>
      <c r="N70" s="4">
        <f t="shared" si="21"/>
        <v>5.7870370370370364E-2</v>
      </c>
      <c r="O70" s="4">
        <f t="shared" si="22"/>
        <v>6357.5810185185182</v>
      </c>
      <c r="P70" s="5">
        <f t="shared" si="17"/>
        <v>3.3564285362403495E-2</v>
      </c>
      <c r="Q70" s="7">
        <v>46.105071041530067</v>
      </c>
      <c r="R70" s="7">
        <v>21.61325681068033</v>
      </c>
      <c r="S70" s="3">
        <v>79499.999999997264</v>
      </c>
      <c r="T70" s="6">
        <f t="shared" si="18"/>
        <v>0.13987318164863374</v>
      </c>
    </row>
    <row r="71" spans="1:20" x14ac:dyDescent="0.35">
      <c r="A71" s="2">
        <v>45116</v>
      </c>
      <c r="B71" s="7">
        <v>287864</v>
      </c>
      <c r="C71" s="7">
        <v>271864</v>
      </c>
      <c r="D71" s="3">
        <f t="shared" si="12"/>
        <v>559728</v>
      </c>
      <c r="E71" s="4">
        <f t="shared" si="13"/>
        <v>3331.7592592592591</v>
      </c>
      <c r="F71" s="4">
        <f t="shared" si="14"/>
        <v>3146.5740740740739</v>
      </c>
      <c r="G71" s="4">
        <f t="shared" si="15"/>
        <v>6478.333333333333</v>
      </c>
      <c r="H71" s="3">
        <v>185336</v>
      </c>
      <c r="I71" s="3">
        <v>365004</v>
      </c>
      <c r="J71" s="3">
        <v>8</v>
      </c>
      <c r="K71" s="4">
        <f t="shared" si="16"/>
        <v>550348</v>
      </c>
      <c r="L71" s="4">
        <f t="shared" si="19"/>
        <v>2145.0925925925926</v>
      </c>
      <c r="M71" s="4">
        <f t="shared" si="20"/>
        <v>4224.583333333333</v>
      </c>
      <c r="N71" s="4">
        <f t="shared" si="21"/>
        <v>9.2592592592592587E-2</v>
      </c>
      <c r="O71" s="4">
        <f t="shared" si="22"/>
        <v>6369.7685185185173</v>
      </c>
      <c r="P71" s="5">
        <f t="shared" si="17"/>
        <v>1.6758139667838665E-2</v>
      </c>
      <c r="Q71" s="7">
        <v>37.363694434935695</v>
      </c>
      <c r="R71" s="7">
        <v>22.351588628762542</v>
      </c>
      <c r="S71" s="3">
        <v>79500</v>
      </c>
      <c r="T71" s="6">
        <f t="shared" si="18"/>
        <v>0.14203327330417631</v>
      </c>
    </row>
    <row r="72" spans="1:20" x14ac:dyDescent="0.35">
      <c r="A72" s="2">
        <v>45117</v>
      </c>
      <c r="B72" s="7">
        <v>292704</v>
      </c>
      <c r="C72" s="7">
        <v>267312</v>
      </c>
      <c r="D72" s="3">
        <f t="shared" si="12"/>
        <v>560016</v>
      </c>
      <c r="E72" s="4">
        <f t="shared" si="13"/>
        <v>3387.7777777777774</v>
      </c>
      <c r="F72" s="4">
        <f t="shared" si="14"/>
        <v>3093.8888888888887</v>
      </c>
      <c r="G72" s="4">
        <f t="shared" si="15"/>
        <v>6481.6666666666661</v>
      </c>
      <c r="H72" s="3">
        <v>185936</v>
      </c>
      <c r="I72" s="3">
        <v>365768</v>
      </c>
      <c r="J72" s="3">
        <v>14</v>
      </c>
      <c r="K72" s="4">
        <f t="shared" si="16"/>
        <v>551718</v>
      </c>
      <c r="L72" s="4">
        <f t="shared" si="19"/>
        <v>2152.037037037037</v>
      </c>
      <c r="M72" s="4">
        <f t="shared" si="20"/>
        <v>4233.4259259259261</v>
      </c>
      <c r="N72" s="4">
        <f t="shared" si="21"/>
        <v>0.16203703703703703</v>
      </c>
      <c r="O72" s="4">
        <f t="shared" si="22"/>
        <v>6385.6250000000009</v>
      </c>
      <c r="P72" s="5">
        <f t="shared" si="17"/>
        <v>1.4817433787606069E-2</v>
      </c>
      <c r="Q72" s="7">
        <v>29.778163436770757</v>
      </c>
      <c r="R72" s="7">
        <v>24.462908202622781</v>
      </c>
      <c r="S72" s="3">
        <v>78480.000000000931</v>
      </c>
      <c r="T72" s="6">
        <f t="shared" si="18"/>
        <v>0.14013885317562522</v>
      </c>
    </row>
    <row r="73" spans="1:20" x14ac:dyDescent="0.35">
      <c r="A73" s="2">
        <v>45118</v>
      </c>
      <c r="B73" s="7">
        <v>292864</v>
      </c>
      <c r="C73" s="7">
        <v>268284</v>
      </c>
      <c r="D73" s="3">
        <f t="shared" si="12"/>
        <v>561148</v>
      </c>
      <c r="E73" s="4">
        <f t="shared" si="13"/>
        <v>3389.6296296296296</v>
      </c>
      <c r="F73" s="4">
        <f t="shared" si="14"/>
        <v>3105.1388888888887</v>
      </c>
      <c r="G73" s="4">
        <f t="shared" si="15"/>
        <v>6494.7685185185182</v>
      </c>
      <c r="H73" s="3">
        <v>186058</v>
      </c>
      <c r="I73" s="3">
        <v>365584</v>
      </c>
      <c r="J73" s="3">
        <v>14</v>
      </c>
      <c r="K73" s="4">
        <f t="shared" si="16"/>
        <v>551656</v>
      </c>
      <c r="L73" s="4">
        <f t="shared" si="19"/>
        <v>2153.4490740740739</v>
      </c>
      <c r="M73" s="4">
        <f t="shared" si="20"/>
        <v>4231.2962962962956</v>
      </c>
      <c r="N73" s="4">
        <f t="shared" si="21"/>
        <v>0.16203703703703703</v>
      </c>
      <c r="O73" s="4">
        <f t="shared" si="22"/>
        <v>6384.9074074074069</v>
      </c>
      <c r="P73" s="5">
        <f t="shared" si="17"/>
        <v>1.6915323586647373E-2</v>
      </c>
      <c r="Q73" s="7">
        <v>26.356394538775209</v>
      </c>
      <c r="R73" s="7">
        <v>24.716206776108976</v>
      </c>
      <c r="S73" s="3">
        <v>78719.999999997977</v>
      </c>
      <c r="T73" s="6">
        <f t="shared" si="18"/>
        <v>0.14028384668571922</v>
      </c>
    </row>
    <row r="74" spans="1:20" x14ac:dyDescent="0.35">
      <c r="A74" s="2">
        <v>45119</v>
      </c>
      <c r="B74" s="7">
        <v>293592</v>
      </c>
      <c r="C74" s="7">
        <v>264024</v>
      </c>
      <c r="D74" s="3">
        <f t="shared" si="12"/>
        <v>557616</v>
      </c>
      <c r="E74" s="4">
        <f t="shared" si="13"/>
        <v>3398.0555555555552</v>
      </c>
      <c r="F74" s="4">
        <f t="shared" si="14"/>
        <v>3055.833333333333</v>
      </c>
      <c r="G74" s="4">
        <f t="shared" si="15"/>
        <v>6453.8888888888887</v>
      </c>
      <c r="H74" s="3">
        <v>185840</v>
      </c>
      <c r="I74" s="3">
        <v>365904</v>
      </c>
      <c r="J74" s="3">
        <v>14</v>
      </c>
      <c r="K74" s="4">
        <f t="shared" si="16"/>
        <v>551758</v>
      </c>
      <c r="L74" s="4">
        <f t="shared" si="19"/>
        <v>2150.9259259259256</v>
      </c>
      <c r="M74" s="4">
        <f t="shared" si="20"/>
        <v>4235</v>
      </c>
      <c r="N74" s="4">
        <f t="shared" si="21"/>
        <v>0.16203703703703703</v>
      </c>
      <c r="O74" s="4">
        <f t="shared" si="22"/>
        <v>6386.0879629629626</v>
      </c>
      <c r="P74" s="5">
        <f t="shared" si="17"/>
        <v>1.0505437433646094E-2</v>
      </c>
      <c r="Q74" s="7">
        <v>29.214184867526953</v>
      </c>
      <c r="R74" s="7">
        <v>23.045375312042697</v>
      </c>
      <c r="S74" s="3">
        <v>78780.000000004744</v>
      </c>
      <c r="T74" s="6">
        <f t="shared" si="18"/>
        <v>0.141280020659387</v>
      </c>
    </row>
    <row r="75" spans="1:20" x14ac:dyDescent="0.35">
      <c r="A75" s="2">
        <v>45120</v>
      </c>
      <c r="B75" s="7">
        <v>295032</v>
      </c>
      <c r="C75" s="7">
        <v>261448</v>
      </c>
      <c r="D75" s="3">
        <f t="shared" si="12"/>
        <v>556480</v>
      </c>
      <c r="E75" s="4">
        <f t="shared" si="13"/>
        <v>3414.7222222222222</v>
      </c>
      <c r="F75" s="4">
        <f t="shared" si="14"/>
        <v>3026.0185185185182</v>
      </c>
      <c r="G75" s="4">
        <f t="shared" si="15"/>
        <v>6440.7407407407409</v>
      </c>
      <c r="H75" s="3">
        <v>185774</v>
      </c>
      <c r="I75" s="3">
        <v>365420</v>
      </c>
      <c r="J75" s="3">
        <v>14</v>
      </c>
      <c r="K75" s="4">
        <f t="shared" si="16"/>
        <v>551208</v>
      </c>
      <c r="L75" s="4">
        <f t="shared" si="19"/>
        <v>2150.162037037037</v>
      </c>
      <c r="M75" s="4">
        <f t="shared" si="20"/>
        <v>4229.3981481481478</v>
      </c>
      <c r="N75" s="4">
        <f t="shared" si="21"/>
        <v>0.16203703703703703</v>
      </c>
      <c r="O75" s="4">
        <f t="shared" si="22"/>
        <v>6379.7222222222217</v>
      </c>
      <c r="P75" s="5">
        <f t="shared" si="17"/>
        <v>9.4738355376653254E-3</v>
      </c>
      <c r="Q75" s="7">
        <v>29.251162858392064</v>
      </c>
      <c r="R75" s="7">
        <v>23.397606382978722</v>
      </c>
      <c r="S75" s="3">
        <v>76739.999999994325</v>
      </c>
      <c r="T75" s="6">
        <f t="shared" si="18"/>
        <v>0.13790253018975404</v>
      </c>
    </row>
    <row r="76" spans="1:20" x14ac:dyDescent="0.35">
      <c r="A76" s="2">
        <v>45121</v>
      </c>
      <c r="B76" s="7">
        <v>304008</v>
      </c>
      <c r="C76" s="7">
        <v>257368</v>
      </c>
      <c r="D76" s="3">
        <f t="shared" si="12"/>
        <v>561376</v>
      </c>
      <c r="E76" s="4">
        <f t="shared" si="13"/>
        <v>3518.6111111111109</v>
      </c>
      <c r="F76" s="4">
        <f t="shared" si="14"/>
        <v>2978.7962962962961</v>
      </c>
      <c r="G76" s="4">
        <f t="shared" si="15"/>
        <v>6497.4074074074069</v>
      </c>
      <c r="H76" s="3">
        <v>185318</v>
      </c>
      <c r="I76" s="3">
        <v>367000</v>
      </c>
      <c r="J76" s="3">
        <v>20</v>
      </c>
      <c r="K76" s="4">
        <f t="shared" si="16"/>
        <v>552338</v>
      </c>
      <c r="L76" s="4">
        <f t="shared" si="19"/>
        <v>2144.8842592592591</v>
      </c>
      <c r="M76" s="4">
        <f t="shared" si="20"/>
        <v>4247.6851851851852</v>
      </c>
      <c r="N76" s="4">
        <f t="shared" si="21"/>
        <v>0.23148148148148145</v>
      </c>
      <c r="O76" s="4">
        <f t="shared" si="22"/>
        <v>6392.8009259259261</v>
      </c>
      <c r="P76" s="5">
        <f t="shared" si="17"/>
        <v>1.6099726386592943E-2</v>
      </c>
      <c r="Q76" s="7">
        <v>27.621053012950942</v>
      </c>
      <c r="R76" s="7">
        <v>22.084289317676568</v>
      </c>
      <c r="S76" s="3">
        <v>80700.00000000163</v>
      </c>
      <c r="T76" s="6">
        <f t="shared" si="18"/>
        <v>0.14375391894203107</v>
      </c>
    </row>
    <row r="77" spans="1:20" x14ac:dyDescent="0.35">
      <c r="A77" s="2">
        <v>45122</v>
      </c>
      <c r="B77" s="7">
        <v>318472</v>
      </c>
      <c r="C77" s="7">
        <v>243084</v>
      </c>
      <c r="D77" s="3">
        <f t="shared" si="12"/>
        <v>561556</v>
      </c>
      <c r="E77" s="4">
        <f t="shared" si="13"/>
        <v>3686.0185185185182</v>
      </c>
      <c r="F77" s="4">
        <f t="shared" si="14"/>
        <v>2813.4722222222222</v>
      </c>
      <c r="G77" s="4">
        <f t="shared" si="15"/>
        <v>6499.4907407407409</v>
      </c>
      <c r="H77" s="3">
        <v>184810</v>
      </c>
      <c r="I77" s="3">
        <v>363716</v>
      </c>
      <c r="J77" s="3">
        <v>4</v>
      </c>
      <c r="K77" s="4">
        <f t="shared" si="16"/>
        <v>548530</v>
      </c>
      <c r="L77" s="4">
        <f t="shared" si="19"/>
        <v>2139.0046296296296</v>
      </c>
      <c r="M77" s="4">
        <f t="shared" si="20"/>
        <v>4209.6759259259261</v>
      </c>
      <c r="N77" s="4">
        <f t="shared" si="21"/>
        <v>4.6296296296296294E-2</v>
      </c>
      <c r="O77" s="4">
        <f t="shared" si="22"/>
        <v>6348.7268518518522</v>
      </c>
      <c r="P77" s="5">
        <f t="shared" si="17"/>
        <v>2.3196261815384395E-2</v>
      </c>
      <c r="Q77" s="7">
        <v>39.154653224755847</v>
      </c>
      <c r="R77" s="7">
        <v>24.395821609955195</v>
      </c>
      <c r="S77" s="3">
        <v>78659.999999998035</v>
      </c>
      <c r="T77" s="6">
        <f t="shared" si="18"/>
        <v>0.14007507710717726</v>
      </c>
    </row>
    <row r="78" spans="1:20" x14ac:dyDescent="0.35">
      <c r="A78" s="2">
        <v>45123</v>
      </c>
      <c r="B78" s="7">
        <v>308712</v>
      </c>
      <c r="C78" s="7">
        <v>256096</v>
      </c>
      <c r="D78" s="3">
        <f t="shared" si="12"/>
        <v>564808</v>
      </c>
      <c r="E78" s="4">
        <f t="shared" si="13"/>
        <v>3573.0555555555552</v>
      </c>
      <c r="F78" s="4">
        <f t="shared" si="14"/>
        <v>2964.0740740740739</v>
      </c>
      <c r="G78" s="4">
        <f t="shared" si="15"/>
        <v>6537.1296296296296</v>
      </c>
      <c r="H78" s="3">
        <v>185232</v>
      </c>
      <c r="I78" s="3">
        <v>366536</v>
      </c>
      <c r="J78" s="3">
        <v>8</v>
      </c>
      <c r="K78" s="4">
        <f t="shared" si="16"/>
        <v>551776</v>
      </c>
      <c r="L78" s="4">
        <f t="shared" si="19"/>
        <v>2143.8888888888887</v>
      </c>
      <c r="M78" s="4">
        <f t="shared" si="20"/>
        <v>4242.3148148148148</v>
      </c>
      <c r="N78" s="4">
        <f t="shared" si="21"/>
        <v>9.2592592592592587E-2</v>
      </c>
      <c r="O78" s="4">
        <f t="shared" si="22"/>
        <v>6386.2962962962956</v>
      </c>
      <c r="P78" s="5">
        <f t="shared" si="17"/>
        <v>2.3073327573263833E-2</v>
      </c>
      <c r="Q78" s="7">
        <v>32.4137064320607</v>
      </c>
      <c r="R78" s="7">
        <v>22.451240067421143</v>
      </c>
      <c r="S78" s="3">
        <v>79140.000000001688</v>
      </c>
      <c r="T78" s="6">
        <f t="shared" si="18"/>
        <v>0.14011841192051402</v>
      </c>
    </row>
    <row r="79" spans="1:20" x14ac:dyDescent="0.35">
      <c r="A79" s="8">
        <v>45124</v>
      </c>
      <c r="B79" s="7">
        <v>307224</v>
      </c>
      <c r="C79" s="7">
        <v>253496</v>
      </c>
      <c r="D79" s="3">
        <f t="shared" si="12"/>
        <v>560720</v>
      </c>
      <c r="E79" s="4">
        <f t="shared" si="13"/>
        <v>3555.833333333333</v>
      </c>
      <c r="F79" s="4">
        <f t="shared" si="14"/>
        <v>2933.9814814814813</v>
      </c>
      <c r="G79" s="4">
        <f t="shared" si="15"/>
        <v>6489.8148148148139</v>
      </c>
      <c r="H79" s="3">
        <v>185356</v>
      </c>
      <c r="I79" s="3">
        <v>367068</v>
      </c>
      <c r="J79" s="3">
        <v>10</v>
      </c>
      <c r="K79" s="4">
        <f t="shared" si="16"/>
        <v>552434</v>
      </c>
      <c r="L79" s="4">
        <f t="shared" si="19"/>
        <v>2145.3240740740739</v>
      </c>
      <c r="M79" s="4">
        <f t="shared" si="20"/>
        <v>4248.4722222222217</v>
      </c>
      <c r="N79" s="4">
        <f t="shared" si="21"/>
        <v>0.11574074074074073</v>
      </c>
      <c r="O79" s="4">
        <f t="shared" si="22"/>
        <v>6393.9120370370365</v>
      </c>
      <c r="P79" s="5">
        <f t="shared" si="17"/>
        <v>1.4777429019831645E-2</v>
      </c>
      <c r="Q79" s="7">
        <v>21.362754911335958</v>
      </c>
      <c r="R79" s="7">
        <v>21.807247824225996</v>
      </c>
      <c r="S79" s="3">
        <v>78240.000000003871</v>
      </c>
      <c r="T79" s="6">
        <f t="shared" si="18"/>
        <v>0.13953488372093714</v>
      </c>
    </row>
    <row r="80" spans="1:20" x14ac:dyDescent="0.35">
      <c r="A80" s="2">
        <v>45125</v>
      </c>
      <c r="B80" s="7">
        <v>306400</v>
      </c>
      <c r="C80" s="7">
        <v>255132</v>
      </c>
      <c r="D80" s="3">
        <f t="shared" si="12"/>
        <v>561532</v>
      </c>
      <c r="E80" s="4">
        <f t="shared" si="13"/>
        <v>3546.2962962962961</v>
      </c>
      <c r="F80" s="4">
        <f t="shared" si="14"/>
        <v>2952.9166666666665</v>
      </c>
      <c r="G80" s="4">
        <f t="shared" si="15"/>
        <v>6499.2129629629626</v>
      </c>
      <c r="H80" s="3">
        <v>184944</v>
      </c>
      <c r="I80" s="3">
        <v>367216</v>
      </c>
      <c r="J80" s="3">
        <v>22</v>
      </c>
      <c r="K80" s="4">
        <f t="shared" si="16"/>
        <v>552182</v>
      </c>
      <c r="L80" s="4">
        <f t="shared" si="19"/>
        <v>2140.5555555555552</v>
      </c>
      <c r="M80" s="4">
        <f t="shared" si="20"/>
        <v>4250.1851851851852</v>
      </c>
      <c r="N80" s="4">
        <f t="shared" si="21"/>
        <v>0.25462962962962959</v>
      </c>
      <c r="O80" s="4">
        <f t="shared" si="22"/>
        <v>6390.9953703703704</v>
      </c>
      <c r="P80" s="5">
        <f t="shared" si="17"/>
        <v>1.6650876530634053E-2</v>
      </c>
      <c r="Q80" s="7">
        <v>23.983404491478836</v>
      </c>
      <c r="R80" s="7">
        <v>21.674900094740817</v>
      </c>
      <c r="S80" s="3">
        <v>79379.999999997381</v>
      </c>
      <c r="T80" s="6">
        <f t="shared" si="18"/>
        <v>0.14136327048146388</v>
      </c>
    </row>
    <row r="81" spans="1:20" x14ac:dyDescent="0.35">
      <c r="A81" s="2">
        <v>45126</v>
      </c>
      <c r="B81" s="7">
        <v>307104</v>
      </c>
      <c r="C81" s="7">
        <v>253656</v>
      </c>
      <c r="D81" s="3">
        <f t="shared" si="12"/>
        <v>560760</v>
      </c>
      <c r="E81" s="4">
        <f t="shared" si="13"/>
        <v>3554.4444444444443</v>
      </c>
      <c r="F81" s="4">
        <f t="shared" si="14"/>
        <v>2935.833333333333</v>
      </c>
      <c r="G81" s="4">
        <f t="shared" si="15"/>
        <v>6490.2777777777774</v>
      </c>
      <c r="H81" s="3">
        <v>185356</v>
      </c>
      <c r="I81" s="3">
        <v>366976</v>
      </c>
      <c r="J81" s="3">
        <v>13</v>
      </c>
      <c r="K81" s="4">
        <f t="shared" si="16"/>
        <v>552345</v>
      </c>
      <c r="L81" s="4">
        <f t="shared" si="19"/>
        <v>2145.3240740740739</v>
      </c>
      <c r="M81" s="4">
        <f t="shared" si="20"/>
        <v>4247.4074074074069</v>
      </c>
      <c r="N81" s="4">
        <f t="shared" si="21"/>
        <v>0.15046296296296297</v>
      </c>
      <c r="O81" s="4">
        <f t="shared" si="22"/>
        <v>6392.8819444444434</v>
      </c>
      <c r="P81" s="5">
        <f t="shared" si="17"/>
        <v>1.5006419858763108E-2</v>
      </c>
      <c r="Q81" s="7">
        <v>25.682568860206839</v>
      </c>
      <c r="R81" s="7">
        <v>21.805692274769957</v>
      </c>
      <c r="S81" s="3">
        <v>80460.000000001863</v>
      </c>
      <c r="T81" s="6">
        <f t="shared" si="18"/>
        <v>0.1434838433554495</v>
      </c>
    </row>
    <row r="82" spans="1:20" x14ac:dyDescent="0.35">
      <c r="A82" s="2">
        <v>45127</v>
      </c>
      <c r="B82" s="7">
        <v>307136</v>
      </c>
      <c r="C82" s="7">
        <v>253872</v>
      </c>
      <c r="D82" s="3">
        <f t="shared" si="12"/>
        <v>561008</v>
      </c>
      <c r="E82" s="4">
        <f t="shared" si="13"/>
        <v>3554.8148148148148</v>
      </c>
      <c r="F82" s="4">
        <f t="shared" si="14"/>
        <v>2938.333333333333</v>
      </c>
      <c r="G82" s="4">
        <f t="shared" si="15"/>
        <v>6493.1481481481478</v>
      </c>
      <c r="H82" s="3">
        <v>184860</v>
      </c>
      <c r="I82" s="3">
        <v>366862</v>
      </c>
      <c r="J82" s="3">
        <v>9</v>
      </c>
      <c r="K82" s="4">
        <f t="shared" si="16"/>
        <v>551731</v>
      </c>
      <c r="L82" s="4">
        <f t="shared" si="19"/>
        <v>2139.583333333333</v>
      </c>
      <c r="M82" s="4">
        <f t="shared" si="20"/>
        <v>4246.0879629629626</v>
      </c>
      <c r="N82" s="4">
        <f t="shared" si="21"/>
        <v>0.10416666666666666</v>
      </c>
      <c r="O82" s="4">
        <f t="shared" si="22"/>
        <v>6385.7754629629626</v>
      </c>
      <c r="P82" s="5">
        <f t="shared" si="17"/>
        <v>1.653630607763169E-2</v>
      </c>
      <c r="Q82" s="7">
        <v>26.491265751163841</v>
      </c>
      <c r="R82" s="7">
        <v>24.924190029375694</v>
      </c>
      <c r="S82" s="3">
        <v>78419.999999999622</v>
      </c>
      <c r="T82" s="6">
        <f t="shared" si="18"/>
        <v>0.13978410290049273</v>
      </c>
    </row>
    <row r="83" spans="1:20" x14ac:dyDescent="0.35">
      <c r="A83" s="2">
        <v>45128</v>
      </c>
      <c r="B83" s="7">
        <v>303192</v>
      </c>
      <c r="C83" s="7">
        <v>257988</v>
      </c>
      <c r="D83" s="3">
        <f t="shared" si="12"/>
        <v>561180</v>
      </c>
      <c r="E83" s="4">
        <f t="shared" si="13"/>
        <v>3509.1666666666665</v>
      </c>
      <c r="F83" s="4">
        <f t="shared" si="14"/>
        <v>2985.9722222222222</v>
      </c>
      <c r="G83" s="4">
        <f t="shared" si="15"/>
        <v>6495.1388888888887</v>
      </c>
      <c r="H83" s="3">
        <v>184844</v>
      </c>
      <c r="I83" s="3">
        <v>366784</v>
      </c>
      <c r="J83" s="3">
        <v>9</v>
      </c>
      <c r="K83" s="4">
        <f t="shared" si="16"/>
        <v>551637</v>
      </c>
      <c r="L83" s="4">
        <f t="shared" si="19"/>
        <v>2139.3981481481478</v>
      </c>
      <c r="M83" s="4">
        <f t="shared" si="20"/>
        <v>4245.1851851851852</v>
      </c>
      <c r="N83" s="4">
        <f t="shared" si="21"/>
        <v>0.10416666666666666</v>
      </c>
      <c r="O83" s="4">
        <f t="shared" si="22"/>
        <v>6384.6875</v>
      </c>
      <c r="P83" s="5">
        <f t="shared" si="17"/>
        <v>1.7005238960761254E-2</v>
      </c>
      <c r="Q83" s="7">
        <v>26.171315239228793</v>
      </c>
      <c r="R83" s="7">
        <v>24.311290495028334</v>
      </c>
      <c r="S83" s="3">
        <v>78779.999999999287</v>
      </c>
      <c r="T83" s="6">
        <f t="shared" si="18"/>
        <v>0.14038276488826987</v>
      </c>
    </row>
    <row r="84" spans="1:20" x14ac:dyDescent="0.35">
      <c r="A84" s="2">
        <v>45129</v>
      </c>
      <c r="B84" s="7">
        <v>296336</v>
      </c>
      <c r="C84" s="7">
        <v>263642</v>
      </c>
      <c r="D84" s="3">
        <f t="shared" si="12"/>
        <v>559978</v>
      </c>
      <c r="E84" s="4">
        <f t="shared" si="13"/>
        <v>3429.8148148148148</v>
      </c>
      <c r="F84" s="4">
        <f t="shared" si="14"/>
        <v>3051.412037037037</v>
      </c>
      <c r="G84" s="4">
        <f t="shared" si="15"/>
        <v>6481.2268518518522</v>
      </c>
      <c r="H84" s="3">
        <v>185544</v>
      </c>
      <c r="I84" s="3">
        <v>367488</v>
      </c>
      <c r="J84" s="3">
        <v>10</v>
      </c>
      <c r="K84" s="4">
        <f t="shared" si="16"/>
        <v>553042</v>
      </c>
      <c r="L84" s="4">
        <f t="shared" si="19"/>
        <v>2147.5</v>
      </c>
      <c r="M84" s="4">
        <f t="shared" si="20"/>
        <v>4253.333333333333</v>
      </c>
      <c r="N84" s="4">
        <f t="shared" si="21"/>
        <v>0.11574074074074073</v>
      </c>
      <c r="O84" s="4">
        <f t="shared" si="22"/>
        <v>6400.9490740740739</v>
      </c>
      <c r="P84" s="5">
        <f t="shared" si="17"/>
        <v>1.2386200886463397E-2</v>
      </c>
      <c r="Q84" s="7">
        <v>25.155615470017434</v>
      </c>
      <c r="R84" s="7">
        <v>21.93723682001793</v>
      </c>
      <c r="S84" s="3">
        <v>78720.000000000713</v>
      </c>
      <c r="T84" s="6">
        <f t="shared" si="18"/>
        <v>0.14057695123737132</v>
      </c>
    </row>
    <row r="85" spans="1:20" x14ac:dyDescent="0.35">
      <c r="A85" s="2">
        <v>45130</v>
      </c>
      <c r="B85" s="7">
        <v>301392</v>
      </c>
      <c r="C85" s="7">
        <v>262062</v>
      </c>
      <c r="D85" s="3">
        <f t="shared" si="12"/>
        <v>563454</v>
      </c>
      <c r="E85" s="4">
        <f t="shared" si="13"/>
        <v>3488.333333333333</v>
      </c>
      <c r="F85" s="4">
        <f t="shared" si="14"/>
        <v>3033.125</v>
      </c>
      <c r="G85" s="4">
        <f t="shared" si="15"/>
        <v>6521.458333333333</v>
      </c>
      <c r="H85" s="3">
        <v>185154</v>
      </c>
      <c r="I85" s="3">
        <v>368140</v>
      </c>
      <c r="J85" s="3">
        <v>9</v>
      </c>
      <c r="K85" s="4">
        <f t="shared" si="16"/>
        <v>553303</v>
      </c>
      <c r="L85" s="4">
        <f t="shared" si="19"/>
        <v>2142.9861111111109</v>
      </c>
      <c r="M85" s="4">
        <f t="shared" si="20"/>
        <v>4260.8796296296296</v>
      </c>
      <c r="N85" s="4">
        <f t="shared" si="21"/>
        <v>0.10416666666666666</v>
      </c>
      <c r="O85" s="4">
        <f t="shared" si="22"/>
        <v>6403.9699074074078</v>
      </c>
      <c r="P85" s="5">
        <f t="shared" si="17"/>
        <v>1.8015667649888011E-2</v>
      </c>
      <c r="Q85" s="7">
        <v>24.861601497047417</v>
      </c>
      <c r="R85" s="7">
        <v>22.404721592179662</v>
      </c>
      <c r="S85" s="3">
        <v>79199.999999997541</v>
      </c>
      <c r="T85" s="6">
        <f t="shared" si="18"/>
        <v>0.14056160751365249</v>
      </c>
    </row>
    <row r="86" spans="1:20" x14ac:dyDescent="0.35">
      <c r="A86" s="8">
        <v>45131</v>
      </c>
      <c r="B86" s="7">
        <v>299296</v>
      </c>
      <c r="C86" s="7">
        <v>261844</v>
      </c>
      <c r="D86" s="3">
        <f t="shared" si="12"/>
        <v>561140</v>
      </c>
      <c r="E86" s="4">
        <f t="shared" si="13"/>
        <v>3464.0740740740739</v>
      </c>
      <c r="F86" s="4">
        <f t="shared" si="14"/>
        <v>3030.6018518518517</v>
      </c>
      <c r="G86" s="4">
        <f t="shared" si="15"/>
        <v>6494.6759259259252</v>
      </c>
      <c r="H86" s="3">
        <v>185066</v>
      </c>
      <c r="I86" s="3">
        <v>367804</v>
      </c>
      <c r="J86" s="3">
        <v>10</v>
      </c>
      <c r="K86" s="4">
        <f t="shared" si="16"/>
        <v>552880</v>
      </c>
      <c r="L86" s="4">
        <f t="shared" si="19"/>
        <v>2141.9675925925926</v>
      </c>
      <c r="M86" s="4">
        <f t="shared" si="20"/>
        <v>4256.9907407407409</v>
      </c>
      <c r="N86" s="4">
        <f t="shared" si="21"/>
        <v>0.11574074074074073</v>
      </c>
      <c r="O86" s="4">
        <f t="shared" si="22"/>
        <v>6399.0740740740748</v>
      </c>
      <c r="P86" s="5">
        <f t="shared" si="17"/>
        <v>1.4720034216060163E-2</v>
      </c>
      <c r="Q86" s="7">
        <v>27.630018834150196</v>
      </c>
      <c r="R86" s="7">
        <v>21.690041700823325</v>
      </c>
      <c r="S86" s="3">
        <v>78300.000000003813</v>
      </c>
      <c r="T86" s="6">
        <f t="shared" si="18"/>
        <v>0.13953737035321634</v>
      </c>
    </row>
    <row r="87" spans="1:20" x14ac:dyDescent="0.35">
      <c r="A87" s="2">
        <v>45132</v>
      </c>
      <c r="B87" s="7">
        <v>300688</v>
      </c>
      <c r="C87" s="7">
        <v>259952</v>
      </c>
      <c r="D87" s="3">
        <f t="shared" si="12"/>
        <v>560640</v>
      </c>
      <c r="E87" s="4">
        <f t="shared" si="13"/>
        <v>3480.1851851851848</v>
      </c>
      <c r="F87" s="4">
        <f t="shared" si="14"/>
        <v>3008.7037037037035</v>
      </c>
      <c r="G87" s="4">
        <f t="shared" si="15"/>
        <v>6488.8888888888887</v>
      </c>
      <c r="H87" s="3">
        <v>185560</v>
      </c>
      <c r="I87" s="3">
        <v>367288</v>
      </c>
      <c r="J87" s="3">
        <v>10</v>
      </c>
      <c r="K87" s="4">
        <f t="shared" si="16"/>
        <v>552858</v>
      </c>
      <c r="L87" s="4">
        <f t="shared" si="19"/>
        <v>2147.6851851851852</v>
      </c>
      <c r="M87" s="4">
        <f t="shared" si="20"/>
        <v>4251.0185185185182</v>
      </c>
      <c r="N87" s="4">
        <f t="shared" si="21"/>
        <v>0.11574074074074073</v>
      </c>
      <c r="O87" s="4">
        <f t="shared" si="22"/>
        <v>6398.8194444444443</v>
      </c>
      <c r="P87" s="5">
        <f t="shared" si="17"/>
        <v>1.3880565068493151E-2</v>
      </c>
      <c r="Q87" s="7">
        <v>25.09548062249991</v>
      </c>
      <c r="R87" s="7">
        <v>30.292166095890412</v>
      </c>
      <c r="S87" s="3">
        <v>80159.999999995314</v>
      </c>
      <c r="T87" s="6">
        <f t="shared" si="18"/>
        <v>0.14297945205478615</v>
      </c>
    </row>
    <row r="88" spans="1:20" x14ac:dyDescent="0.35">
      <c r="A88" s="2">
        <v>45133</v>
      </c>
      <c r="B88" s="7">
        <v>299656</v>
      </c>
      <c r="C88" s="7">
        <v>261880</v>
      </c>
      <c r="D88" s="3">
        <f t="shared" si="12"/>
        <v>561536</v>
      </c>
      <c r="E88" s="4">
        <f t="shared" si="13"/>
        <v>3468.2407407407404</v>
      </c>
      <c r="F88" s="4">
        <f t="shared" si="14"/>
        <v>3031.0185185185182</v>
      </c>
      <c r="G88" s="4">
        <f t="shared" si="15"/>
        <v>6499.2592592592591</v>
      </c>
      <c r="H88" s="3">
        <v>186010</v>
      </c>
      <c r="I88" s="3">
        <v>367408</v>
      </c>
      <c r="J88" s="3">
        <v>9</v>
      </c>
      <c r="K88" s="4">
        <f t="shared" si="16"/>
        <v>553427</v>
      </c>
      <c r="L88" s="4">
        <f t="shared" si="19"/>
        <v>2152.8935185185182</v>
      </c>
      <c r="M88" s="4">
        <f t="shared" si="20"/>
        <v>4252.4074074074069</v>
      </c>
      <c r="N88" s="4">
        <f t="shared" si="21"/>
        <v>0.10416666666666666</v>
      </c>
      <c r="O88" s="4">
        <f t="shared" si="22"/>
        <v>6405.4050925925922</v>
      </c>
      <c r="P88" s="5">
        <f t="shared" si="17"/>
        <v>1.4440748233416914E-2</v>
      </c>
      <c r="Q88" s="7">
        <v>24.694548738616231</v>
      </c>
      <c r="R88" s="7">
        <v>22.58206063369045</v>
      </c>
      <c r="S88" s="3">
        <v>79140.00000000032</v>
      </c>
      <c r="T88" s="6">
        <f t="shared" si="18"/>
        <v>0.14093486437200878</v>
      </c>
    </row>
    <row r="89" spans="1:20" x14ac:dyDescent="0.35">
      <c r="A89" s="2">
        <v>45134</v>
      </c>
      <c r="B89" s="7">
        <v>298096</v>
      </c>
      <c r="C89" s="7">
        <v>263464</v>
      </c>
      <c r="D89" s="3">
        <f t="shared" si="12"/>
        <v>561560</v>
      </c>
      <c r="E89" s="4">
        <f t="shared" si="13"/>
        <v>3450.1851851851848</v>
      </c>
      <c r="F89" s="4">
        <f t="shared" si="14"/>
        <v>3049.3518518518517</v>
      </c>
      <c r="G89" s="4">
        <f t="shared" si="15"/>
        <v>6499.5370370370365</v>
      </c>
      <c r="H89" s="3">
        <v>185592</v>
      </c>
      <c r="I89" s="3">
        <v>367628</v>
      </c>
      <c r="J89" s="3">
        <v>14</v>
      </c>
      <c r="K89" s="4">
        <f t="shared" si="16"/>
        <v>553234</v>
      </c>
      <c r="L89" s="4">
        <f t="shared" si="19"/>
        <v>2148.0555555555552</v>
      </c>
      <c r="M89" s="4">
        <f t="shared" si="20"/>
        <v>4254.9537037037035</v>
      </c>
      <c r="N89" s="4">
        <f t="shared" si="21"/>
        <v>0.16203703703703703</v>
      </c>
      <c r="O89" s="4">
        <f t="shared" si="22"/>
        <v>6403.1712962962965</v>
      </c>
      <c r="P89" s="5">
        <f t="shared" si="17"/>
        <v>1.4826554597905833E-2</v>
      </c>
      <c r="Q89" s="7">
        <v>27.709728904545134</v>
      </c>
      <c r="R89" s="7">
        <v>19.657650117529737</v>
      </c>
      <c r="S89" s="3">
        <v>79139.999999998967</v>
      </c>
      <c r="T89" s="6">
        <f t="shared" si="18"/>
        <v>0.14092884108554557</v>
      </c>
    </row>
    <row r="90" spans="1:20" x14ac:dyDescent="0.35">
      <c r="A90" s="2">
        <v>45135</v>
      </c>
      <c r="B90" s="7">
        <v>299928</v>
      </c>
      <c r="C90" s="7">
        <v>262128</v>
      </c>
      <c r="D90" s="3">
        <f t="shared" si="12"/>
        <v>562056</v>
      </c>
      <c r="E90" s="4">
        <f t="shared" si="13"/>
        <v>3471.3888888888887</v>
      </c>
      <c r="F90" s="4">
        <f t="shared" si="14"/>
        <v>3033.8888888888887</v>
      </c>
      <c r="G90" s="4">
        <f t="shared" si="15"/>
        <v>6505.2777777777774</v>
      </c>
      <c r="H90" s="3">
        <v>185594</v>
      </c>
      <c r="I90" s="3">
        <v>367264</v>
      </c>
      <c r="J90" s="3">
        <v>8</v>
      </c>
      <c r="K90" s="4">
        <f t="shared" si="16"/>
        <v>552866</v>
      </c>
      <c r="L90" s="4">
        <f t="shared" si="19"/>
        <v>2148.0787037037035</v>
      </c>
      <c r="M90" s="4">
        <f t="shared" si="20"/>
        <v>4250.7407407407409</v>
      </c>
      <c r="N90" s="4">
        <f t="shared" si="21"/>
        <v>9.2592592592592587E-2</v>
      </c>
      <c r="O90" s="4">
        <f t="shared" si="22"/>
        <v>6398.9120370370365</v>
      </c>
      <c r="P90" s="5">
        <f t="shared" si="17"/>
        <v>1.6350683917616751E-2</v>
      </c>
      <c r="Q90" s="7">
        <v>26.457057924406698</v>
      </c>
      <c r="R90" s="7">
        <v>21.151095264528802</v>
      </c>
      <c r="S90" s="3">
        <v>78780.000000003376</v>
      </c>
      <c r="T90" s="6">
        <f t="shared" si="18"/>
        <v>0.14016396942654002</v>
      </c>
    </row>
    <row r="91" spans="1:20" x14ac:dyDescent="0.35">
      <c r="A91" s="2">
        <v>45136</v>
      </c>
      <c r="B91" s="7">
        <v>298704</v>
      </c>
      <c r="C91" s="7">
        <v>260228</v>
      </c>
      <c r="D91" s="3">
        <f t="shared" si="12"/>
        <v>558932</v>
      </c>
      <c r="E91" s="4">
        <f t="shared" si="13"/>
        <v>3457.2222222222222</v>
      </c>
      <c r="F91" s="4">
        <f t="shared" si="14"/>
        <v>3011.8981481481478</v>
      </c>
      <c r="G91" s="4">
        <f t="shared" si="15"/>
        <v>6469.1203703703704</v>
      </c>
      <c r="H91" s="3">
        <v>185908</v>
      </c>
      <c r="I91" s="3">
        <v>367364</v>
      </c>
      <c r="J91" s="3">
        <v>14</v>
      </c>
      <c r="K91" s="4">
        <f t="shared" si="16"/>
        <v>553286</v>
      </c>
      <c r="L91" s="4">
        <f t="shared" si="19"/>
        <v>2151.712962962963</v>
      </c>
      <c r="M91" s="4">
        <f t="shared" si="20"/>
        <v>4251.8981481481478</v>
      </c>
      <c r="N91" s="4">
        <f t="shared" si="21"/>
        <v>0.16203703703703703</v>
      </c>
      <c r="O91" s="4">
        <f t="shared" si="22"/>
        <v>6403.7731481481487</v>
      </c>
      <c r="P91" s="5">
        <f t="shared" si="17"/>
        <v>1.0101407684655736E-2</v>
      </c>
      <c r="Q91" s="7">
        <v>25.600636497244185</v>
      </c>
      <c r="R91" s="7">
        <v>21.066748727931127</v>
      </c>
      <c r="S91" s="3">
        <v>78059.999999999942</v>
      </c>
      <c r="T91" s="6">
        <f t="shared" si="18"/>
        <v>0.13965920720230715</v>
      </c>
    </row>
    <row r="92" spans="1:20" x14ac:dyDescent="0.35">
      <c r="A92" s="2">
        <v>45137</v>
      </c>
      <c r="B92" s="7">
        <v>298104</v>
      </c>
      <c r="C92" s="7">
        <v>262196</v>
      </c>
      <c r="D92" s="3">
        <f t="shared" si="12"/>
        <v>560300</v>
      </c>
      <c r="E92" s="4">
        <f t="shared" si="13"/>
        <v>3450.2777777777774</v>
      </c>
      <c r="F92" s="4">
        <f t="shared" si="14"/>
        <v>3034.6759259259256</v>
      </c>
      <c r="G92" s="4">
        <f t="shared" si="15"/>
        <v>6484.9537037037026</v>
      </c>
      <c r="H92" s="3">
        <v>186124</v>
      </c>
      <c r="I92" s="3">
        <v>367444</v>
      </c>
      <c r="J92" s="3">
        <v>5</v>
      </c>
      <c r="K92" s="4">
        <f t="shared" si="16"/>
        <v>553573</v>
      </c>
      <c r="L92" s="4">
        <f t="shared" si="19"/>
        <v>2154.212962962963</v>
      </c>
      <c r="M92" s="4">
        <f t="shared" si="20"/>
        <v>4252.8240740740739</v>
      </c>
      <c r="N92" s="4">
        <f t="shared" si="21"/>
        <v>5.7870370370370364E-2</v>
      </c>
      <c r="O92" s="4">
        <f t="shared" si="22"/>
        <v>6407.0949074074069</v>
      </c>
      <c r="P92" s="5">
        <f t="shared" si="17"/>
        <v>1.2006068177761913E-2</v>
      </c>
      <c r="Q92" s="7">
        <v>24.061953616937796</v>
      </c>
      <c r="R92" s="7">
        <v>22.025664822416562</v>
      </c>
      <c r="S92" s="3">
        <v>80160.000000002125</v>
      </c>
      <c r="T92" s="6">
        <f t="shared" si="18"/>
        <v>0.14306621452793525</v>
      </c>
    </row>
    <row r="93" spans="1:20" x14ac:dyDescent="0.35">
      <c r="A93" s="8">
        <v>45138</v>
      </c>
      <c r="B93" s="7">
        <v>299880</v>
      </c>
      <c r="C93" s="7">
        <v>261440</v>
      </c>
      <c r="D93" s="3">
        <f t="shared" si="12"/>
        <v>561320</v>
      </c>
      <c r="E93" s="4">
        <f t="shared" si="13"/>
        <v>3470.833333333333</v>
      </c>
      <c r="F93" s="4">
        <f t="shared" si="14"/>
        <v>3025.9259259259256</v>
      </c>
      <c r="G93" s="4">
        <f t="shared" si="15"/>
        <v>6496.7592592592591</v>
      </c>
      <c r="H93" s="3">
        <v>185988</v>
      </c>
      <c r="I93" s="3">
        <v>367616</v>
      </c>
      <c r="J93" s="3">
        <v>9</v>
      </c>
      <c r="K93" s="4">
        <f t="shared" si="16"/>
        <v>553613</v>
      </c>
      <c r="L93" s="4">
        <f t="shared" si="19"/>
        <v>2152.6388888888887</v>
      </c>
      <c r="M93" s="4">
        <f t="shared" si="20"/>
        <v>4254.8148148148148</v>
      </c>
      <c r="N93" s="4">
        <f t="shared" si="21"/>
        <v>0.10416666666666666</v>
      </c>
      <c r="O93" s="4">
        <f t="shared" si="22"/>
        <v>6407.5578703703704</v>
      </c>
      <c r="P93" s="5">
        <f t="shared" si="17"/>
        <v>1.3730136107746028E-2</v>
      </c>
      <c r="Q93" s="7">
        <v>25.382152502984408</v>
      </c>
      <c r="R93" s="7">
        <v>23.700117579990025</v>
      </c>
      <c r="S93" s="3">
        <v>77519.999999996347</v>
      </c>
      <c r="T93" s="6">
        <f t="shared" si="18"/>
        <v>0.1381030428276141</v>
      </c>
    </row>
    <row r="94" spans="1:20" x14ac:dyDescent="0.35">
      <c r="A94" s="2">
        <v>45139</v>
      </c>
      <c r="B94" s="3">
        <v>297672</v>
      </c>
      <c r="C94" s="3">
        <v>261320</v>
      </c>
      <c r="D94" s="3">
        <f t="shared" si="12"/>
        <v>558992</v>
      </c>
      <c r="E94" s="4">
        <f t="shared" si="13"/>
        <v>3445.2777777777774</v>
      </c>
      <c r="F94" s="4">
        <f t="shared" si="14"/>
        <v>3024.537037037037</v>
      </c>
      <c r="G94" s="4">
        <f t="shared" si="15"/>
        <v>6469.8148148148139</v>
      </c>
      <c r="H94" s="3">
        <v>185196</v>
      </c>
      <c r="I94" s="3">
        <v>364020</v>
      </c>
      <c r="J94" s="3">
        <v>9</v>
      </c>
      <c r="K94" s="4">
        <f t="shared" si="16"/>
        <v>549225</v>
      </c>
      <c r="L94" s="4">
        <f t="shared" si="19"/>
        <v>2143.4722222222222</v>
      </c>
      <c r="M94" s="4">
        <f t="shared" si="20"/>
        <v>4213.1944444444443</v>
      </c>
      <c r="N94" s="4">
        <f t="shared" si="21"/>
        <v>0.10416666666666666</v>
      </c>
      <c r="O94" s="4">
        <f t="shared" si="22"/>
        <v>6356.770833333333</v>
      </c>
      <c r="P94" s="5">
        <f t="shared" si="17"/>
        <v>1.7472521968114035E-2</v>
      </c>
      <c r="Q94" s="7">
        <v>25.087136110051222</v>
      </c>
      <c r="R94" s="7">
        <v>22.178474826115579</v>
      </c>
      <c r="S94" s="3">
        <v>79080.000000000378</v>
      </c>
      <c r="T94" s="6">
        <f t="shared" si="18"/>
        <v>0.14146892978790462</v>
      </c>
    </row>
    <row r="95" spans="1:20" x14ac:dyDescent="0.35">
      <c r="A95" s="2">
        <v>45140</v>
      </c>
      <c r="B95" s="3">
        <v>298024</v>
      </c>
      <c r="C95" s="3">
        <v>263240</v>
      </c>
      <c r="D95" s="3">
        <f t="shared" si="12"/>
        <v>561264</v>
      </c>
      <c r="E95" s="4">
        <f t="shared" si="13"/>
        <v>3449.3518518518517</v>
      </c>
      <c r="F95" s="4">
        <f t="shared" si="14"/>
        <v>3046.7592592592591</v>
      </c>
      <c r="G95" s="4">
        <f t="shared" si="15"/>
        <v>6496.1111111111113</v>
      </c>
      <c r="H95" s="3">
        <v>185186</v>
      </c>
      <c r="I95" s="3">
        <v>367316</v>
      </c>
      <c r="J95" s="3">
        <v>4</v>
      </c>
      <c r="K95" s="4">
        <f t="shared" si="16"/>
        <v>552506</v>
      </c>
      <c r="L95" s="4">
        <f t="shared" si="19"/>
        <v>2143.3564814814813</v>
      </c>
      <c r="M95" s="4">
        <f t="shared" si="20"/>
        <v>4251.3425925925922</v>
      </c>
      <c r="N95" s="4">
        <f t="shared" si="21"/>
        <v>4.6296296296296294E-2</v>
      </c>
      <c r="O95" s="4">
        <f t="shared" si="22"/>
        <v>6394.7453703703695</v>
      </c>
      <c r="P95" s="5">
        <f t="shared" si="17"/>
        <v>1.5604065110179879E-2</v>
      </c>
      <c r="Q95" s="7">
        <v>25.214919235425871</v>
      </c>
      <c r="R95" s="7">
        <v>22.088696228512784</v>
      </c>
      <c r="S95" s="3">
        <v>79199.999999996187</v>
      </c>
      <c r="T95" s="6">
        <f t="shared" si="18"/>
        <v>0.14111006585135727</v>
      </c>
    </row>
    <row r="96" spans="1:20" x14ac:dyDescent="0.35">
      <c r="A96" s="2">
        <v>45141</v>
      </c>
      <c r="B96" s="3">
        <v>296664</v>
      </c>
      <c r="C96" s="3">
        <v>261392</v>
      </c>
      <c r="D96" s="3">
        <f t="shared" si="12"/>
        <v>558056</v>
      </c>
      <c r="E96" s="4">
        <f t="shared" si="13"/>
        <v>3433.6111111111109</v>
      </c>
      <c r="F96" s="4">
        <f t="shared" si="14"/>
        <v>3025.37037037037</v>
      </c>
      <c r="G96" s="4">
        <f t="shared" si="15"/>
        <v>6458.9814814814808</v>
      </c>
      <c r="H96" s="3">
        <v>185188</v>
      </c>
      <c r="I96" s="3">
        <v>367328</v>
      </c>
      <c r="J96" s="3">
        <v>14</v>
      </c>
      <c r="K96" s="4">
        <f t="shared" si="16"/>
        <v>552530</v>
      </c>
      <c r="L96" s="4">
        <f t="shared" si="19"/>
        <v>2143.3796296296296</v>
      </c>
      <c r="M96" s="4">
        <f t="shared" si="20"/>
        <v>4251.4814814814808</v>
      </c>
      <c r="N96" s="4">
        <f t="shared" si="21"/>
        <v>0.16203703703703703</v>
      </c>
      <c r="O96" s="4">
        <f t="shared" si="22"/>
        <v>6395.0231481481478</v>
      </c>
      <c r="P96" s="5">
        <f t="shared" si="17"/>
        <v>9.9022320340610981E-3</v>
      </c>
      <c r="Q96" s="7">
        <v>26.635296176324967</v>
      </c>
      <c r="R96" s="7">
        <v>22.722880857835055</v>
      </c>
      <c r="S96" s="3">
        <v>79260.000000001586</v>
      </c>
      <c r="T96" s="6">
        <f t="shared" si="18"/>
        <v>0.14202875697062944</v>
      </c>
    </row>
    <row r="97" spans="1:20" x14ac:dyDescent="0.35">
      <c r="A97" s="2">
        <v>45142</v>
      </c>
      <c r="B97" s="3">
        <v>300016</v>
      </c>
      <c r="C97" s="3">
        <v>264536</v>
      </c>
      <c r="D97" s="3">
        <f t="shared" si="12"/>
        <v>564552</v>
      </c>
      <c r="E97" s="4">
        <f t="shared" si="13"/>
        <v>3472.4074074074074</v>
      </c>
      <c r="F97" s="4">
        <f t="shared" si="14"/>
        <v>3061.7592592592591</v>
      </c>
      <c r="G97" s="4">
        <f t="shared" si="15"/>
        <v>6534.1666666666661</v>
      </c>
      <c r="H97" s="3">
        <v>185304</v>
      </c>
      <c r="I97" s="3">
        <v>367192</v>
      </c>
      <c r="J97" s="3">
        <v>23</v>
      </c>
      <c r="K97" s="4">
        <f t="shared" si="16"/>
        <v>552519</v>
      </c>
      <c r="L97" s="4">
        <f t="shared" si="19"/>
        <v>2144.7222222222222</v>
      </c>
      <c r="M97" s="4">
        <f t="shared" si="20"/>
        <v>4249.9074074074069</v>
      </c>
      <c r="N97" s="4">
        <f t="shared" si="21"/>
        <v>0.26620370370370366</v>
      </c>
      <c r="O97" s="4">
        <f t="shared" si="22"/>
        <v>6394.895833333333</v>
      </c>
      <c r="P97" s="5">
        <f t="shared" si="17"/>
        <v>2.1314245631934702E-2</v>
      </c>
      <c r="Q97" s="7">
        <v>25.318890476339377</v>
      </c>
      <c r="R97" s="7">
        <v>22.361146537431448</v>
      </c>
      <c r="S97" s="3">
        <v>79139.999999998967</v>
      </c>
      <c r="T97" s="6">
        <f t="shared" si="18"/>
        <v>0.14018194958125907</v>
      </c>
    </row>
    <row r="98" spans="1:20" x14ac:dyDescent="0.35">
      <c r="A98" s="2">
        <v>45143</v>
      </c>
      <c r="B98" s="3">
        <v>296208</v>
      </c>
      <c r="C98" s="3">
        <v>263272</v>
      </c>
      <c r="D98" s="3">
        <f t="shared" si="12"/>
        <v>559480</v>
      </c>
      <c r="E98" s="4">
        <f t="shared" si="13"/>
        <v>3428.333333333333</v>
      </c>
      <c r="F98" s="4">
        <f t="shared" si="14"/>
        <v>3047.1296296296296</v>
      </c>
      <c r="G98" s="4">
        <f t="shared" si="15"/>
        <v>6475.4629629629626</v>
      </c>
      <c r="H98" s="3">
        <v>184134</v>
      </c>
      <c r="I98" s="3">
        <v>367940</v>
      </c>
      <c r="J98" s="3">
        <v>14</v>
      </c>
      <c r="K98" s="4">
        <f t="shared" si="16"/>
        <v>552088</v>
      </c>
      <c r="L98" s="4">
        <f t="shared" si="19"/>
        <v>2131.1805555555552</v>
      </c>
      <c r="M98" s="4">
        <f t="shared" si="20"/>
        <v>4258.5648148148148</v>
      </c>
      <c r="N98" s="4">
        <f t="shared" si="21"/>
        <v>0.16203703703703703</v>
      </c>
      <c r="O98" s="4">
        <f t="shared" si="22"/>
        <v>6389.9074074074078</v>
      </c>
      <c r="P98" s="5">
        <f t="shared" si="17"/>
        <v>1.3212268535068277E-2</v>
      </c>
      <c r="Q98" s="7">
        <v>26.799777074269674</v>
      </c>
      <c r="R98" s="7">
        <v>22.057946664760134</v>
      </c>
      <c r="S98" s="3">
        <v>78240.000000002503</v>
      </c>
      <c r="T98" s="6">
        <f t="shared" si="18"/>
        <v>0.1398441409880648</v>
      </c>
    </row>
    <row r="99" spans="1:20" x14ac:dyDescent="0.35">
      <c r="A99" s="2">
        <v>45144</v>
      </c>
      <c r="B99" s="3">
        <v>296744</v>
      </c>
      <c r="C99" s="3">
        <v>261896</v>
      </c>
      <c r="D99" s="3">
        <f t="shared" si="12"/>
        <v>558640</v>
      </c>
      <c r="E99" s="4">
        <f t="shared" si="13"/>
        <v>3434.537037037037</v>
      </c>
      <c r="F99" s="4">
        <f t="shared" si="14"/>
        <v>3031.2037037037035</v>
      </c>
      <c r="G99" s="4">
        <f t="shared" si="15"/>
        <v>6465.7407407407409</v>
      </c>
      <c r="H99" s="3">
        <v>185686</v>
      </c>
      <c r="I99" s="3">
        <v>367856</v>
      </c>
      <c r="J99" s="3">
        <v>9</v>
      </c>
      <c r="K99" s="4">
        <f t="shared" si="16"/>
        <v>553551</v>
      </c>
      <c r="L99" s="4">
        <f t="shared" si="19"/>
        <v>2149.1435185185182</v>
      </c>
      <c r="M99" s="4">
        <f t="shared" si="20"/>
        <v>4257.5925925925922</v>
      </c>
      <c r="N99" s="4">
        <f t="shared" si="21"/>
        <v>0.10416666666666666</v>
      </c>
      <c r="O99" s="4">
        <f t="shared" si="22"/>
        <v>6406.8402777777774</v>
      </c>
      <c r="P99" s="5">
        <f t="shared" si="17"/>
        <v>9.1096233710439636E-3</v>
      </c>
      <c r="Q99" s="7">
        <v>24.108874326433853</v>
      </c>
      <c r="R99" s="7">
        <v>27.056548045252757</v>
      </c>
      <c r="S99" s="3">
        <v>77999.999999997264</v>
      </c>
      <c r="T99" s="6">
        <f t="shared" si="18"/>
        <v>0.13962480309322151</v>
      </c>
    </row>
    <row r="100" spans="1:20" x14ac:dyDescent="0.35">
      <c r="A100" s="8">
        <v>45145</v>
      </c>
      <c r="B100" s="3">
        <v>300352</v>
      </c>
      <c r="C100" s="3">
        <v>259608</v>
      </c>
      <c r="D100" s="3">
        <f t="shared" si="12"/>
        <v>559960</v>
      </c>
      <c r="E100" s="4">
        <f t="shared" si="13"/>
        <v>3476.2962962962961</v>
      </c>
      <c r="F100" s="4">
        <f t="shared" si="14"/>
        <v>3004.7222222222222</v>
      </c>
      <c r="G100" s="4">
        <f t="shared" si="15"/>
        <v>6481.0185185185182</v>
      </c>
      <c r="H100" s="3">
        <v>185586</v>
      </c>
      <c r="I100" s="3">
        <v>367072</v>
      </c>
      <c r="J100" s="3">
        <v>16</v>
      </c>
      <c r="K100" s="4">
        <f t="shared" si="16"/>
        <v>552674</v>
      </c>
      <c r="L100" s="4">
        <f t="shared" si="19"/>
        <v>2147.9861111111109</v>
      </c>
      <c r="M100" s="4">
        <f t="shared" si="20"/>
        <v>4248.5185185185182</v>
      </c>
      <c r="N100" s="4">
        <f t="shared" si="21"/>
        <v>0.18518518518518517</v>
      </c>
      <c r="O100" s="4">
        <f t="shared" si="22"/>
        <v>6396.6898148148148</v>
      </c>
      <c r="P100" s="5">
        <f t="shared" si="17"/>
        <v>1.3011643688834916E-2</v>
      </c>
      <c r="Q100" s="7">
        <v>24.201686587412677</v>
      </c>
      <c r="R100" s="7">
        <v>21.937941995856846</v>
      </c>
      <c r="S100" s="3">
        <v>80280.000000002023</v>
      </c>
      <c r="T100" s="6">
        <f t="shared" si="18"/>
        <v>0.14336738338453109</v>
      </c>
    </row>
    <row r="101" spans="1:20" x14ac:dyDescent="0.35">
      <c r="A101" s="2">
        <v>45146</v>
      </c>
      <c r="B101" s="3">
        <v>301304</v>
      </c>
      <c r="C101" s="3">
        <v>258792</v>
      </c>
      <c r="D101" s="3">
        <f t="shared" si="12"/>
        <v>560096</v>
      </c>
      <c r="E101" s="4">
        <f t="shared" si="13"/>
        <v>3487.3148148148148</v>
      </c>
      <c r="F101" s="4">
        <f t="shared" si="14"/>
        <v>2995.2777777777774</v>
      </c>
      <c r="G101" s="4">
        <f t="shared" si="15"/>
        <v>6482.5925925925922</v>
      </c>
      <c r="H101" s="3">
        <v>185562</v>
      </c>
      <c r="I101" s="3">
        <v>367236</v>
      </c>
      <c r="J101" s="3">
        <v>13</v>
      </c>
      <c r="K101" s="4">
        <f t="shared" si="16"/>
        <v>552811</v>
      </c>
      <c r="L101" s="4">
        <f t="shared" si="19"/>
        <v>2147.708333333333</v>
      </c>
      <c r="M101" s="4">
        <f t="shared" si="20"/>
        <v>4250.4166666666661</v>
      </c>
      <c r="N101" s="4">
        <f t="shared" si="21"/>
        <v>0.15046296296296297</v>
      </c>
      <c r="O101" s="4">
        <f t="shared" si="22"/>
        <v>6398.2754629629617</v>
      </c>
      <c r="P101" s="5">
        <f t="shared" si="17"/>
        <v>1.3006698851625436E-2</v>
      </c>
      <c r="Q101" s="7">
        <v>26.899790127477555</v>
      </c>
      <c r="R101" s="7">
        <v>26.379781323201737</v>
      </c>
      <c r="S101" s="3">
        <v>79319.999999998807</v>
      </c>
      <c r="T101" s="6">
        <f t="shared" si="18"/>
        <v>0.1416185796720541</v>
      </c>
    </row>
    <row r="102" spans="1:20" x14ac:dyDescent="0.35">
      <c r="A102" s="2">
        <v>45147</v>
      </c>
      <c r="B102" s="3">
        <v>301424</v>
      </c>
      <c r="C102" s="3">
        <v>259344</v>
      </c>
      <c r="D102" s="3">
        <f t="shared" si="12"/>
        <v>560768</v>
      </c>
      <c r="E102" s="4">
        <f t="shared" si="13"/>
        <v>3488.7037037037035</v>
      </c>
      <c r="F102" s="4">
        <f t="shared" si="14"/>
        <v>3001.6666666666665</v>
      </c>
      <c r="G102" s="4">
        <f t="shared" si="15"/>
        <v>6490.3703703703704</v>
      </c>
      <c r="H102" s="3">
        <v>185390</v>
      </c>
      <c r="I102" s="3">
        <v>366748</v>
      </c>
      <c r="J102" s="3">
        <v>18</v>
      </c>
      <c r="K102" s="4">
        <f t="shared" si="16"/>
        <v>552156</v>
      </c>
      <c r="L102" s="4">
        <f t="shared" si="19"/>
        <v>2145.7175925925926</v>
      </c>
      <c r="M102" s="4">
        <f t="shared" si="20"/>
        <v>4244.7685185185182</v>
      </c>
      <c r="N102" s="4">
        <f t="shared" si="21"/>
        <v>0.20833333333333331</v>
      </c>
      <c r="O102" s="4">
        <f t="shared" si="22"/>
        <v>6390.6944444444443</v>
      </c>
      <c r="P102" s="5">
        <f t="shared" si="17"/>
        <v>1.5357509700981511E-2</v>
      </c>
      <c r="Q102" s="7">
        <v>26.1449371794243</v>
      </c>
      <c r="R102" s="7">
        <v>22.915840418854142</v>
      </c>
      <c r="S102" s="3">
        <v>80099.999999998094</v>
      </c>
      <c r="T102" s="6">
        <f t="shared" si="18"/>
        <v>0.1428398196758697</v>
      </c>
    </row>
    <row r="103" spans="1:20" x14ac:dyDescent="0.35">
      <c r="A103" s="2">
        <v>45148</v>
      </c>
      <c r="B103" s="3">
        <v>300152</v>
      </c>
      <c r="C103" s="3">
        <v>258456</v>
      </c>
      <c r="D103" s="3">
        <f t="shared" si="12"/>
        <v>558608</v>
      </c>
      <c r="E103" s="4">
        <f t="shared" si="13"/>
        <v>3473.9814814814813</v>
      </c>
      <c r="F103" s="4">
        <f t="shared" si="14"/>
        <v>2991.3888888888887</v>
      </c>
      <c r="G103" s="4">
        <f t="shared" si="15"/>
        <v>6465.3703703703704</v>
      </c>
      <c r="H103" s="3">
        <v>184794</v>
      </c>
      <c r="I103" s="3">
        <v>366852</v>
      </c>
      <c r="J103" s="3">
        <v>9</v>
      </c>
      <c r="K103" s="4">
        <f t="shared" si="16"/>
        <v>551655</v>
      </c>
      <c r="L103" s="4">
        <f t="shared" si="19"/>
        <v>2138.8194444444443</v>
      </c>
      <c r="M103" s="4">
        <f t="shared" si="20"/>
        <v>4245.9722222222217</v>
      </c>
      <c r="N103" s="4">
        <f t="shared" si="21"/>
        <v>0.10416666666666666</v>
      </c>
      <c r="O103" s="4">
        <f t="shared" si="22"/>
        <v>6384.895833333333</v>
      </c>
      <c r="P103" s="5">
        <f t="shared" si="17"/>
        <v>1.2447011141981497E-2</v>
      </c>
      <c r="Q103" s="7">
        <v>27.872714670563646</v>
      </c>
      <c r="R103" s="7">
        <v>26.247368458740297</v>
      </c>
      <c r="S103" s="3">
        <v>79500.000000002736</v>
      </c>
      <c r="T103" s="6">
        <f t="shared" si="18"/>
        <v>0.14231804771861975</v>
      </c>
    </row>
    <row r="104" spans="1:20" x14ac:dyDescent="0.35">
      <c r="A104" s="2">
        <v>45149</v>
      </c>
      <c r="B104" s="3">
        <v>301488</v>
      </c>
      <c r="C104" s="3">
        <v>256024</v>
      </c>
      <c r="D104" s="3">
        <f t="shared" si="12"/>
        <v>557512</v>
      </c>
      <c r="E104" s="4">
        <f t="shared" si="13"/>
        <v>3489.4444444444443</v>
      </c>
      <c r="F104" s="4">
        <f t="shared" si="14"/>
        <v>2963.2407407407404</v>
      </c>
      <c r="G104" s="4">
        <f t="shared" si="15"/>
        <v>6452.6851851851843</v>
      </c>
      <c r="H104" s="3">
        <v>184824</v>
      </c>
      <c r="I104" s="3">
        <v>366544</v>
      </c>
      <c r="J104" s="3">
        <v>13</v>
      </c>
      <c r="K104" s="4">
        <f t="shared" si="16"/>
        <v>551381</v>
      </c>
      <c r="L104" s="4">
        <f t="shared" si="19"/>
        <v>2139.1666666666665</v>
      </c>
      <c r="M104" s="4">
        <f t="shared" si="20"/>
        <v>4242.4074074074069</v>
      </c>
      <c r="N104" s="4">
        <f t="shared" si="21"/>
        <v>0.15046296296296297</v>
      </c>
      <c r="O104" s="4">
        <f t="shared" si="22"/>
        <v>6381.7245370370356</v>
      </c>
      <c r="P104" s="5">
        <f t="shared" si="17"/>
        <v>1.099707270874887E-2</v>
      </c>
      <c r="Q104" s="7">
        <v>28.48807717914147</v>
      </c>
      <c r="R104" s="7">
        <v>24.877401742025285</v>
      </c>
      <c r="S104" s="3">
        <v>79139.999999998967</v>
      </c>
      <c r="T104" s="6">
        <f t="shared" si="18"/>
        <v>0.14195210147942819</v>
      </c>
    </row>
    <row r="105" spans="1:20" x14ac:dyDescent="0.35">
      <c r="A105" s="2">
        <v>45150</v>
      </c>
      <c r="B105" s="3">
        <v>303160</v>
      </c>
      <c r="C105" s="3">
        <v>257272</v>
      </c>
      <c r="D105" s="3">
        <f t="shared" si="12"/>
        <v>560432</v>
      </c>
      <c r="E105" s="4">
        <f t="shared" si="13"/>
        <v>3508.7962962962961</v>
      </c>
      <c r="F105" s="4">
        <f t="shared" si="14"/>
        <v>2977.6851851851848</v>
      </c>
      <c r="G105" s="4">
        <f t="shared" si="15"/>
        <v>6486.4814814814808</v>
      </c>
      <c r="H105" s="3">
        <v>183924</v>
      </c>
      <c r="I105" s="3">
        <v>366028</v>
      </c>
      <c r="J105" s="3">
        <v>6</v>
      </c>
      <c r="K105" s="4">
        <f t="shared" si="16"/>
        <v>549958</v>
      </c>
      <c r="L105" s="4">
        <f t="shared" si="19"/>
        <v>2128.75</v>
      </c>
      <c r="M105" s="4">
        <f t="shared" si="20"/>
        <v>4236.4351851851852</v>
      </c>
      <c r="N105" s="4">
        <f t="shared" si="21"/>
        <v>6.9444444444444434E-2</v>
      </c>
      <c r="O105" s="4">
        <f t="shared" si="22"/>
        <v>6365.2546296296296</v>
      </c>
      <c r="P105" s="5">
        <f t="shared" si="17"/>
        <v>1.8689154081137409E-2</v>
      </c>
      <c r="Q105" s="7">
        <v>25.485115231060245</v>
      </c>
      <c r="R105" s="7">
        <v>25.858908841750651</v>
      </c>
      <c r="S105" s="3">
        <v>78960.000000003216</v>
      </c>
      <c r="T105" s="6">
        <f t="shared" si="18"/>
        <v>0.14089131241614186</v>
      </c>
    </row>
    <row r="106" spans="1:20" x14ac:dyDescent="0.35">
      <c r="A106" s="2">
        <v>45151</v>
      </c>
      <c r="B106" s="3">
        <v>299944</v>
      </c>
      <c r="C106" s="3">
        <v>253768</v>
      </c>
      <c r="D106" s="3">
        <f t="shared" si="12"/>
        <v>553712</v>
      </c>
      <c r="E106" s="4">
        <f t="shared" si="13"/>
        <v>3471.5740740740739</v>
      </c>
      <c r="F106" s="4">
        <f t="shared" si="14"/>
        <v>2937.1296296296296</v>
      </c>
      <c r="G106" s="4">
        <f t="shared" si="15"/>
        <v>6408.7037037037035</v>
      </c>
      <c r="H106" s="3">
        <v>184068</v>
      </c>
      <c r="I106" s="3">
        <v>366148</v>
      </c>
      <c r="J106" s="3">
        <v>26</v>
      </c>
      <c r="K106" s="4">
        <f t="shared" si="16"/>
        <v>550242</v>
      </c>
      <c r="L106" s="4">
        <f t="shared" si="19"/>
        <v>2130.4166666666665</v>
      </c>
      <c r="M106" s="4">
        <f t="shared" si="20"/>
        <v>4237.8240740740739</v>
      </c>
      <c r="N106" s="4">
        <f t="shared" si="21"/>
        <v>0.30092592592592593</v>
      </c>
      <c r="O106" s="4">
        <f t="shared" si="22"/>
        <v>6368.541666666667</v>
      </c>
      <c r="P106" s="5">
        <f t="shared" si="17"/>
        <v>6.2667957349669141E-3</v>
      </c>
      <c r="Q106" s="7">
        <v>29.109437235862327</v>
      </c>
      <c r="R106" s="7">
        <v>20.242978299188024</v>
      </c>
      <c r="S106" s="3">
        <v>77339.99999999514</v>
      </c>
      <c r="T106" s="6">
        <f t="shared" si="18"/>
        <v>0.13967549917645841</v>
      </c>
    </row>
    <row r="107" spans="1:20" x14ac:dyDescent="0.35">
      <c r="A107" s="8">
        <v>45152</v>
      </c>
      <c r="B107" s="3">
        <v>300888</v>
      </c>
      <c r="C107" s="3">
        <v>254098</v>
      </c>
      <c r="D107" s="3">
        <f t="shared" si="12"/>
        <v>554986</v>
      </c>
      <c r="E107" s="4">
        <f t="shared" si="13"/>
        <v>3482.4999999999995</v>
      </c>
      <c r="F107" s="4">
        <f t="shared" si="14"/>
        <v>2940.9490740740739</v>
      </c>
      <c r="G107" s="4">
        <f t="shared" si="15"/>
        <v>6423.449074074073</v>
      </c>
      <c r="H107" s="3">
        <v>185268</v>
      </c>
      <c r="I107" s="3">
        <v>365056</v>
      </c>
      <c r="J107" s="3">
        <v>5</v>
      </c>
      <c r="K107" s="4">
        <f t="shared" si="16"/>
        <v>550329</v>
      </c>
      <c r="L107" s="4">
        <f t="shared" si="19"/>
        <v>2144.3055555555552</v>
      </c>
      <c r="M107" s="4">
        <f t="shared" si="20"/>
        <v>4225.1851851851852</v>
      </c>
      <c r="N107" s="4">
        <f t="shared" si="21"/>
        <v>5.7870370370370364E-2</v>
      </c>
      <c r="O107" s="4">
        <f t="shared" si="22"/>
        <v>6369.5486111111113</v>
      </c>
      <c r="P107" s="5">
        <f t="shared" si="17"/>
        <v>8.3912026609680238E-3</v>
      </c>
      <c r="Q107" s="7">
        <v>25.428048486548079</v>
      </c>
      <c r="R107" s="7">
        <v>22.644571214409012</v>
      </c>
      <c r="S107" s="3">
        <v>80160.000000000757</v>
      </c>
      <c r="T107" s="6">
        <f t="shared" si="18"/>
        <v>0.14443607586497814</v>
      </c>
    </row>
    <row r="108" spans="1:20" x14ac:dyDescent="0.35">
      <c r="A108" s="2">
        <v>45153</v>
      </c>
      <c r="B108" s="3">
        <v>303928</v>
      </c>
      <c r="C108" s="3">
        <v>256558</v>
      </c>
      <c r="D108" s="3">
        <f t="shared" si="12"/>
        <v>560486</v>
      </c>
      <c r="E108" s="4">
        <f t="shared" si="13"/>
        <v>3517.6851851851848</v>
      </c>
      <c r="F108" s="4">
        <f t="shared" si="14"/>
        <v>2969.4212962962961</v>
      </c>
      <c r="G108" s="4">
        <f t="shared" si="15"/>
        <v>6487.1064814814808</v>
      </c>
      <c r="H108" s="3">
        <v>185624</v>
      </c>
      <c r="I108" s="3">
        <v>365992</v>
      </c>
      <c r="J108" s="3">
        <v>9</v>
      </c>
      <c r="K108" s="4">
        <f t="shared" si="16"/>
        <v>551625</v>
      </c>
      <c r="L108" s="4">
        <f t="shared" si="19"/>
        <v>2148.4259259259256</v>
      </c>
      <c r="M108" s="4">
        <f t="shared" si="20"/>
        <v>4236.0185185185182</v>
      </c>
      <c r="N108" s="4">
        <f t="shared" si="21"/>
        <v>0.10416666666666666</v>
      </c>
      <c r="O108" s="4">
        <f t="shared" si="22"/>
        <v>6384.5486111111104</v>
      </c>
      <c r="P108" s="5">
        <f t="shared" si="17"/>
        <v>1.5809493903505171E-2</v>
      </c>
      <c r="Q108" s="7">
        <v>36.549026917401051</v>
      </c>
      <c r="R108" s="7">
        <v>22.422362021531313</v>
      </c>
      <c r="S108" s="3">
        <v>79860.000000001033</v>
      </c>
      <c r="T108" s="6">
        <f t="shared" si="18"/>
        <v>0.1424834875447398</v>
      </c>
    </row>
    <row r="109" spans="1:20" x14ac:dyDescent="0.35">
      <c r="A109" s="2">
        <v>45154</v>
      </c>
      <c r="B109" s="3">
        <v>303280</v>
      </c>
      <c r="C109" s="3">
        <v>255600</v>
      </c>
      <c r="D109" s="3">
        <f t="shared" si="12"/>
        <v>558880</v>
      </c>
      <c r="E109" s="4">
        <f t="shared" si="13"/>
        <v>3510.1851851851848</v>
      </c>
      <c r="F109" s="4">
        <f t="shared" si="14"/>
        <v>2958.333333333333</v>
      </c>
      <c r="G109" s="4">
        <f t="shared" si="15"/>
        <v>6468.5185185185182</v>
      </c>
      <c r="H109" s="3">
        <v>185002</v>
      </c>
      <c r="I109" s="3">
        <v>366288</v>
      </c>
      <c r="J109" s="3">
        <v>9</v>
      </c>
      <c r="K109" s="4">
        <f t="shared" si="16"/>
        <v>551299</v>
      </c>
      <c r="L109" s="4">
        <f t="shared" si="19"/>
        <v>2141.2268518518517</v>
      </c>
      <c r="M109" s="4">
        <f t="shared" si="20"/>
        <v>4239.4444444444443</v>
      </c>
      <c r="N109" s="4">
        <f t="shared" si="21"/>
        <v>0.10416666666666666</v>
      </c>
      <c r="O109" s="4">
        <f t="shared" si="22"/>
        <v>6380.7754629629626</v>
      </c>
      <c r="P109" s="5">
        <f t="shared" si="17"/>
        <v>1.3564629258517034E-2</v>
      </c>
      <c r="Q109" s="7">
        <v>32.504024459781427</v>
      </c>
      <c r="R109" s="7">
        <v>21.879043801889495</v>
      </c>
      <c r="S109" s="3">
        <v>79319.999999998807</v>
      </c>
      <c r="T109" s="6">
        <f t="shared" si="18"/>
        <v>0.14192671056398298</v>
      </c>
    </row>
    <row r="110" spans="1:20" x14ac:dyDescent="0.35">
      <c r="A110" s="2">
        <v>45155</v>
      </c>
      <c r="B110" s="3">
        <v>304408</v>
      </c>
      <c r="C110" s="3">
        <v>257104</v>
      </c>
      <c r="D110" s="3">
        <f t="shared" si="12"/>
        <v>561512</v>
      </c>
      <c r="E110" s="4">
        <f t="shared" si="13"/>
        <v>3523.2407407407404</v>
      </c>
      <c r="F110" s="4">
        <f t="shared" si="14"/>
        <v>2975.7407407407404</v>
      </c>
      <c r="G110" s="4">
        <f t="shared" si="15"/>
        <v>6498.9814814814808</v>
      </c>
      <c r="H110" s="3">
        <v>184746</v>
      </c>
      <c r="I110" s="3">
        <v>366304</v>
      </c>
      <c r="J110" s="3">
        <v>9</v>
      </c>
      <c r="K110" s="4">
        <f t="shared" si="16"/>
        <v>551059</v>
      </c>
      <c r="L110" s="4">
        <f t="shared" si="19"/>
        <v>2138.2638888888887</v>
      </c>
      <c r="M110" s="4">
        <f t="shared" si="20"/>
        <v>4239.6296296296296</v>
      </c>
      <c r="N110" s="4">
        <f t="shared" si="21"/>
        <v>0.10416666666666666</v>
      </c>
      <c r="O110" s="4">
        <f t="shared" si="22"/>
        <v>6377.9976851851852</v>
      </c>
      <c r="P110" s="5">
        <f t="shared" si="17"/>
        <v>1.8615808744960036E-2</v>
      </c>
      <c r="Q110" s="7">
        <v>33.936882386270177</v>
      </c>
      <c r="R110" s="7">
        <v>24.700184501845019</v>
      </c>
      <c r="S110" s="3">
        <v>79739.999999999782</v>
      </c>
      <c r="T110" s="6">
        <f t="shared" si="18"/>
        <v>0.14200943167732796</v>
      </c>
    </row>
    <row r="111" spans="1:20" x14ac:dyDescent="0.35">
      <c r="A111" s="2">
        <v>45156</v>
      </c>
      <c r="B111" s="3">
        <v>301152</v>
      </c>
      <c r="C111" s="3">
        <v>258496</v>
      </c>
      <c r="D111" s="3">
        <f t="shared" si="12"/>
        <v>559648</v>
      </c>
      <c r="E111" s="4">
        <f t="shared" si="13"/>
        <v>3485.5555555555552</v>
      </c>
      <c r="F111" s="4">
        <f t="shared" si="14"/>
        <v>2991.8518518518517</v>
      </c>
      <c r="G111" s="4">
        <f t="shared" si="15"/>
        <v>6477.4074074074069</v>
      </c>
      <c r="H111" s="3">
        <v>184570</v>
      </c>
      <c r="I111" s="3">
        <v>367464</v>
      </c>
      <c r="J111" s="3">
        <v>8</v>
      </c>
      <c r="K111" s="4">
        <f t="shared" si="16"/>
        <v>552042</v>
      </c>
      <c r="L111" s="4">
        <f t="shared" si="19"/>
        <v>2136.2268518518517</v>
      </c>
      <c r="M111" s="4">
        <f t="shared" si="20"/>
        <v>4253.0555555555557</v>
      </c>
      <c r="N111" s="4">
        <f t="shared" si="21"/>
        <v>9.2592592592592587E-2</v>
      </c>
      <c r="O111" s="4">
        <f t="shared" si="22"/>
        <v>6389.3749999999991</v>
      </c>
      <c r="P111" s="5">
        <f t="shared" si="17"/>
        <v>1.3590685573789238E-2</v>
      </c>
      <c r="Q111" s="7">
        <v>32.349479516404408</v>
      </c>
      <c r="R111" s="7">
        <v>23.164006661329978</v>
      </c>
      <c r="S111" s="3">
        <v>79320.000000002896</v>
      </c>
      <c r="T111" s="6">
        <f t="shared" si="18"/>
        <v>0.14173194579450457</v>
      </c>
    </row>
    <row r="112" spans="1:20" x14ac:dyDescent="0.35">
      <c r="A112" s="2">
        <v>45157</v>
      </c>
      <c r="B112" s="3">
        <v>302296</v>
      </c>
      <c r="C112" s="3">
        <v>256496</v>
      </c>
      <c r="D112" s="3">
        <f t="shared" si="12"/>
        <v>558792</v>
      </c>
      <c r="E112" s="4">
        <f t="shared" si="13"/>
        <v>3498.7962962962961</v>
      </c>
      <c r="F112" s="4">
        <f t="shared" si="14"/>
        <v>2968.7037037037035</v>
      </c>
      <c r="G112" s="4">
        <f t="shared" si="15"/>
        <v>6467.5</v>
      </c>
      <c r="H112" s="3">
        <v>184224</v>
      </c>
      <c r="I112" s="3">
        <v>367280</v>
      </c>
      <c r="J112" s="3">
        <v>9</v>
      </c>
      <c r="K112" s="4">
        <f t="shared" si="16"/>
        <v>551513</v>
      </c>
      <c r="L112" s="4">
        <f t="shared" si="19"/>
        <v>2132.2222222222222</v>
      </c>
      <c r="M112" s="4">
        <f t="shared" si="20"/>
        <v>4250.9259259259261</v>
      </c>
      <c r="N112" s="4">
        <f t="shared" si="21"/>
        <v>0.10416666666666666</v>
      </c>
      <c r="O112" s="4">
        <f t="shared" si="22"/>
        <v>6383.2523148148148</v>
      </c>
      <c r="P112" s="5">
        <f t="shared" si="17"/>
        <v>1.3026313905710891E-2</v>
      </c>
      <c r="Q112" s="7">
        <v>25.341661008061195</v>
      </c>
      <c r="R112" s="7">
        <v>22.794259760340161</v>
      </c>
      <c r="S112" s="3">
        <v>78299.99999999837</v>
      </c>
      <c r="T112" s="6">
        <f t="shared" si="18"/>
        <v>0.14012369540007438</v>
      </c>
    </row>
    <row r="113" spans="1:20" x14ac:dyDescent="0.35">
      <c r="A113" s="2">
        <v>45158</v>
      </c>
      <c r="B113" s="3">
        <v>304256</v>
      </c>
      <c r="C113" s="3">
        <v>255736</v>
      </c>
      <c r="D113" s="3">
        <f t="shared" si="12"/>
        <v>559992</v>
      </c>
      <c r="E113" s="4">
        <f t="shared" si="13"/>
        <v>3521.4814814814813</v>
      </c>
      <c r="F113" s="4">
        <f t="shared" si="14"/>
        <v>2959.9074074074074</v>
      </c>
      <c r="G113" s="4">
        <f t="shared" si="15"/>
        <v>6481.3888888888887</v>
      </c>
      <c r="H113" s="3">
        <v>183882</v>
      </c>
      <c r="I113" s="3">
        <v>366400</v>
      </c>
      <c r="J113" s="3">
        <v>9</v>
      </c>
      <c r="K113" s="4">
        <f t="shared" si="16"/>
        <v>550291</v>
      </c>
      <c r="L113" s="4">
        <f t="shared" si="19"/>
        <v>2128.2638888888887</v>
      </c>
      <c r="M113" s="4">
        <f t="shared" si="20"/>
        <v>4240.7407407407409</v>
      </c>
      <c r="N113" s="4">
        <f t="shared" si="21"/>
        <v>0.10416666666666666</v>
      </c>
      <c r="O113" s="4">
        <f t="shared" si="22"/>
        <v>6369.1087962962965</v>
      </c>
      <c r="P113" s="5">
        <f t="shared" si="17"/>
        <v>1.7323461763739483E-2</v>
      </c>
      <c r="Q113" s="7">
        <v>28.534721540886242</v>
      </c>
      <c r="R113" s="7">
        <v>24.160684438349119</v>
      </c>
      <c r="S113" s="3">
        <v>79020.000000000437</v>
      </c>
      <c r="T113" s="6">
        <f t="shared" si="18"/>
        <v>0.14110915870226795</v>
      </c>
    </row>
    <row r="114" spans="1:20" x14ac:dyDescent="0.35">
      <c r="A114" s="8">
        <v>45159</v>
      </c>
      <c r="B114" s="3">
        <v>301560</v>
      </c>
      <c r="C114" s="3">
        <v>254592</v>
      </c>
      <c r="D114" s="3">
        <f t="shared" si="12"/>
        <v>556152</v>
      </c>
      <c r="E114" s="4">
        <f t="shared" si="13"/>
        <v>3490.2777777777774</v>
      </c>
      <c r="F114" s="4">
        <f t="shared" si="14"/>
        <v>2946.6666666666665</v>
      </c>
      <c r="G114" s="4">
        <f t="shared" si="15"/>
        <v>6436.9444444444434</v>
      </c>
      <c r="H114" s="3">
        <v>184452</v>
      </c>
      <c r="I114" s="3">
        <v>366172</v>
      </c>
      <c r="J114" s="3">
        <v>14</v>
      </c>
      <c r="K114" s="4">
        <f t="shared" si="16"/>
        <v>550638</v>
      </c>
      <c r="L114" s="4">
        <f t="shared" si="19"/>
        <v>2134.8611111111109</v>
      </c>
      <c r="M114" s="4">
        <f t="shared" si="20"/>
        <v>4238.1018518518513</v>
      </c>
      <c r="N114" s="4">
        <f t="shared" si="21"/>
        <v>0.16203703703703703</v>
      </c>
      <c r="O114" s="4">
        <f t="shared" si="22"/>
        <v>6373.1249999999991</v>
      </c>
      <c r="P114" s="5">
        <f t="shared" si="17"/>
        <v>9.9145557329650882E-3</v>
      </c>
      <c r="Q114" s="7">
        <v>21.730800718134134</v>
      </c>
      <c r="R114" s="7">
        <v>22.800673197255428</v>
      </c>
      <c r="S114" s="3">
        <v>77640.000000001688</v>
      </c>
      <c r="T114" s="6">
        <f t="shared" si="18"/>
        <v>0.13960212316057785</v>
      </c>
    </row>
    <row r="115" spans="1:20" x14ac:dyDescent="0.35">
      <c r="A115" s="2">
        <v>45160</v>
      </c>
      <c r="B115" s="3">
        <v>303833</v>
      </c>
      <c r="C115" s="3">
        <v>252441</v>
      </c>
      <c r="D115" s="3">
        <f t="shared" si="12"/>
        <v>556274</v>
      </c>
      <c r="E115" s="4">
        <f t="shared" si="13"/>
        <v>3516.5856481481478</v>
      </c>
      <c r="F115" s="4">
        <f t="shared" si="14"/>
        <v>2921.770833333333</v>
      </c>
      <c r="G115" s="4">
        <f t="shared" si="15"/>
        <v>6438.3564814814808</v>
      </c>
      <c r="H115" s="3">
        <v>184202</v>
      </c>
      <c r="I115" s="3">
        <v>365900</v>
      </c>
      <c r="J115" s="3">
        <v>11</v>
      </c>
      <c r="K115" s="4">
        <f t="shared" si="16"/>
        <v>550113</v>
      </c>
      <c r="L115" s="4">
        <f t="shared" si="19"/>
        <v>2131.9675925925926</v>
      </c>
      <c r="M115" s="4">
        <f t="shared" si="20"/>
        <v>4234.9537037037035</v>
      </c>
      <c r="N115" s="4">
        <f t="shared" si="21"/>
        <v>0.1273148148148148</v>
      </c>
      <c r="O115" s="4">
        <f t="shared" si="22"/>
        <v>6367.0486111111104</v>
      </c>
      <c r="P115" s="5">
        <f t="shared" si="17"/>
        <v>1.1075477192894149E-2</v>
      </c>
      <c r="Q115" s="7">
        <v>24.554571106331242</v>
      </c>
      <c r="R115" s="7">
        <v>22.592139844752765</v>
      </c>
      <c r="S115" s="3">
        <v>79199.999999998909</v>
      </c>
      <c r="T115" s="6">
        <f t="shared" si="18"/>
        <v>0.14237587951261232</v>
      </c>
    </row>
    <row r="116" spans="1:20" x14ac:dyDescent="0.35">
      <c r="A116" s="2">
        <v>45161</v>
      </c>
      <c r="B116" s="3">
        <v>303751</v>
      </c>
      <c r="C116" s="3">
        <v>253927</v>
      </c>
      <c r="D116" s="3">
        <f t="shared" si="12"/>
        <v>557678</v>
      </c>
      <c r="E116" s="4">
        <f t="shared" si="13"/>
        <v>3515.6365740740739</v>
      </c>
      <c r="F116" s="4">
        <f t="shared" si="14"/>
        <v>2938.9699074074074</v>
      </c>
      <c r="G116" s="4">
        <f t="shared" si="15"/>
        <v>6454.6064814814818</v>
      </c>
      <c r="H116" s="3">
        <v>184454</v>
      </c>
      <c r="I116" s="3">
        <v>365120</v>
      </c>
      <c r="J116" s="3">
        <v>13</v>
      </c>
      <c r="K116" s="4">
        <f t="shared" si="16"/>
        <v>549587</v>
      </c>
      <c r="L116" s="4">
        <f t="shared" si="19"/>
        <v>2134.8842592592591</v>
      </c>
      <c r="M116" s="4">
        <f t="shared" si="20"/>
        <v>4225.9259259259261</v>
      </c>
      <c r="N116" s="4">
        <f t="shared" si="21"/>
        <v>0.15046296296296297</v>
      </c>
      <c r="O116" s="4">
        <f t="shared" si="22"/>
        <v>6360.9606481481478</v>
      </c>
      <c r="P116" s="5">
        <f t="shared" si="17"/>
        <v>1.4508372214790614E-2</v>
      </c>
      <c r="Q116" s="7">
        <v>28.33198767593575</v>
      </c>
      <c r="R116" s="7">
        <v>22.230731712565316</v>
      </c>
      <c r="S116" s="3">
        <v>78839.999999999243</v>
      </c>
      <c r="T116" s="6">
        <f t="shared" si="18"/>
        <v>0.14137190278260797</v>
      </c>
    </row>
    <row r="117" spans="1:20" x14ac:dyDescent="0.35">
      <c r="A117" s="2">
        <v>45162</v>
      </c>
      <c r="B117" s="3">
        <v>302368</v>
      </c>
      <c r="C117" s="3">
        <v>253160</v>
      </c>
      <c r="D117" s="3">
        <f t="shared" si="12"/>
        <v>555528</v>
      </c>
      <c r="E117" s="4">
        <f t="shared" si="13"/>
        <v>3499.6296296296296</v>
      </c>
      <c r="F117" s="4">
        <f t="shared" si="14"/>
        <v>2930.0925925925926</v>
      </c>
      <c r="G117" s="4">
        <f t="shared" si="15"/>
        <v>6429.7222222222226</v>
      </c>
      <c r="H117" s="3">
        <v>184400</v>
      </c>
      <c r="I117" s="3">
        <v>366796</v>
      </c>
      <c r="J117" s="3">
        <v>15</v>
      </c>
      <c r="K117" s="4">
        <f t="shared" si="16"/>
        <v>551211</v>
      </c>
      <c r="L117" s="4">
        <f t="shared" si="19"/>
        <v>2134.2592592592591</v>
      </c>
      <c r="M117" s="4">
        <f t="shared" si="20"/>
        <v>4245.3240740740739</v>
      </c>
      <c r="N117" s="4">
        <f t="shared" si="21"/>
        <v>0.1736111111111111</v>
      </c>
      <c r="O117" s="4">
        <f t="shared" si="22"/>
        <v>6379.7569444444443</v>
      </c>
      <c r="P117" s="5">
        <f t="shared" si="17"/>
        <v>7.7709854408778674E-3</v>
      </c>
      <c r="Q117" s="7">
        <v>29.295833382426679</v>
      </c>
      <c r="R117" s="7">
        <v>24.049120836393485</v>
      </c>
      <c r="S117" s="3">
        <v>79559.999999998574</v>
      </c>
      <c r="T117" s="6">
        <f t="shared" si="18"/>
        <v>0.1432151034691295</v>
      </c>
    </row>
    <row r="118" spans="1:20" x14ac:dyDescent="0.35">
      <c r="A118" s="2">
        <v>45163</v>
      </c>
      <c r="B118" s="3">
        <v>301608</v>
      </c>
      <c r="C118" s="3">
        <v>251936</v>
      </c>
      <c r="D118" s="3">
        <f t="shared" si="12"/>
        <v>553544</v>
      </c>
      <c r="E118" s="4">
        <f t="shared" si="13"/>
        <v>3490.833333333333</v>
      </c>
      <c r="F118" s="4">
        <f t="shared" si="14"/>
        <v>2915.9259259259256</v>
      </c>
      <c r="G118" s="4">
        <f t="shared" si="15"/>
        <v>6406.7592592592591</v>
      </c>
      <c r="H118" s="3">
        <v>184030</v>
      </c>
      <c r="I118" s="3">
        <v>361732</v>
      </c>
      <c r="J118" s="3">
        <v>8</v>
      </c>
      <c r="K118" s="4">
        <f t="shared" si="16"/>
        <v>545770</v>
      </c>
      <c r="L118" s="4">
        <f t="shared" si="19"/>
        <v>2129.9768518518517</v>
      </c>
      <c r="M118" s="4">
        <f t="shared" si="20"/>
        <v>4186.7129629629626</v>
      </c>
      <c r="N118" s="4">
        <f t="shared" si="21"/>
        <v>9.2592592592592587E-2</v>
      </c>
      <c r="O118" s="4">
        <f t="shared" si="22"/>
        <v>6316.782407407406</v>
      </c>
      <c r="P118" s="5">
        <f t="shared" si="17"/>
        <v>1.4044050698770107E-2</v>
      </c>
      <c r="Q118" s="7">
        <v>31.236690375453591</v>
      </c>
      <c r="R118" s="7">
        <v>21.783146416545026</v>
      </c>
      <c r="S118" s="3">
        <v>79979.999999999563</v>
      </c>
      <c r="T118" s="6">
        <f t="shared" si="18"/>
        <v>0.1444871591056891</v>
      </c>
    </row>
    <row r="119" spans="1:20" x14ac:dyDescent="0.35">
      <c r="A119" s="2">
        <v>45164</v>
      </c>
      <c r="B119" s="3">
        <v>301344</v>
      </c>
      <c r="C119" s="3">
        <v>251840</v>
      </c>
      <c r="D119" s="3">
        <f t="shared" si="12"/>
        <v>553184</v>
      </c>
      <c r="E119" s="4">
        <f t="shared" si="13"/>
        <v>3487.7777777777774</v>
      </c>
      <c r="F119" s="4">
        <f t="shared" si="14"/>
        <v>2914.8148148148148</v>
      </c>
      <c r="G119" s="4">
        <f t="shared" si="15"/>
        <v>6402.5925925925922</v>
      </c>
      <c r="H119" s="3">
        <v>184126</v>
      </c>
      <c r="I119" s="3">
        <v>360896</v>
      </c>
      <c r="J119" s="3">
        <v>9</v>
      </c>
      <c r="K119" s="4">
        <f t="shared" si="16"/>
        <v>545031</v>
      </c>
      <c r="L119" s="4">
        <f t="shared" si="19"/>
        <v>2131.087962962963</v>
      </c>
      <c r="M119" s="4">
        <f t="shared" si="20"/>
        <v>4177.0370370370365</v>
      </c>
      <c r="N119" s="4">
        <f t="shared" si="21"/>
        <v>0.10416666666666666</v>
      </c>
      <c r="O119" s="4">
        <f t="shared" si="22"/>
        <v>6308.229166666667</v>
      </c>
      <c r="P119" s="5">
        <f t="shared" si="17"/>
        <v>1.4738314918725053E-2</v>
      </c>
      <c r="Q119" s="7">
        <v>27.916092958115474</v>
      </c>
      <c r="R119" s="7">
        <v>22.513666338867356</v>
      </c>
      <c r="S119" s="3">
        <v>78360.000000002401</v>
      </c>
      <c r="T119" s="6">
        <f t="shared" si="18"/>
        <v>0.1416526869902282</v>
      </c>
    </row>
    <row r="120" spans="1:20" x14ac:dyDescent="0.35">
      <c r="A120" s="2">
        <v>45165</v>
      </c>
      <c r="B120" s="3">
        <v>301544</v>
      </c>
      <c r="C120" s="3">
        <v>249880</v>
      </c>
      <c r="D120" s="3">
        <f t="shared" si="12"/>
        <v>551424</v>
      </c>
      <c r="E120" s="4">
        <f t="shared" si="13"/>
        <v>3490.0925925925922</v>
      </c>
      <c r="F120" s="4">
        <f t="shared" si="14"/>
        <v>2892.1296296296296</v>
      </c>
      <c r="G120" s="4">
        <f t="shared" si="15"/>
        <v>6382.2222222222217</v>
      </c>
      <c r="H120" s="3">
        <v>183362</v>
      </c>
      <c r="I120" s="3">
        <v>360692</v>
      </c>
      <c r="J120" s="3">
        <v>9</v>
      </c>
      <c r="K120" s="4">
        <f t="shared" si="16"/>
        <v>544063</v>
      </c>
      <c r="L120" s="4">
        <f t="shared" si="19"/>
        <v>2122.2453703703704</v>
      </c>
      <c r="M120" s="4">
        <f t="shared" si="20"/>
        <v>4174.6759259259261</v>
      </c>
      <c r="N120" s="4">
        <f t="shared" si="21"/>
        <v>0.10416666666666666</v>
      </c>
      <c r="O120" s="4">
        <f t="shared" si="22"/>
        <v>6297.0254629629635</v>
      </c>
      <c r="P120" s="5">
        <f t="shared" si="17"/>
        <v>1.3349074396471681E-2</v>
      </c>
      <c r="Q120" s="7">
        <v>41.130577265437353</v>
      </c>
      <c r="R120" s="7">
        <v>22.277539606545961</v>
      </c>
      <c r="S120" s="3">
        <v>77700.00000000163</v>
      </c>
      <c r="T120" s="6">
        <f t="shared" si="18"/>
        <v>0.14090790389972441</v>
      </c>
    </row>
    <row r="121" spans="1:20" x14ac:dyDescent="0.35">
      <c r="A121" s="8">
        <v>45166</v>
      </c>
      <c r="B121" s="3">
        <v>302288</v>
      </c>
      <c r="C121" s="3">
        <v>252256</v>
      </c>
      <c r="D121" s="3">
        <f t="shared" si="12"/>
        <v>554544</v>
      </c>
      <c r="E121" s="4">
        <f t="shared" si="13"/>
        <v>3498.7037037037035</v>
      </c>
      <c r="F121" s="4">
        <f t="shared" si="14"/>
        <v>2919.6296296296296</v>
      </c>
      <c r="G121" s="4">
        <f t="shared" si="15"/>
        <v>6418.333333333333</v>
      </c>
      <c r="H121" s="3">
        <v>184374</v>
      </c>
      <c r="I121" s="3">
        <v>361688</v>
      </c>
      <c r="J121" s="3">
        <v>9</v>
      </c>
      <c r="K121" s="4">
        <f t="shared" si="16"/>
        <v>546071</v>
      </c>
      <c r="L121" s="4">
        <f t="shared" si="19"/>
        <v>2133.958333333333</v>
      </c>
      <c r="M121" s="4">
        <f t="shared" si="20"/>
        <v>4186.2037037037035</v>
      </c>
      <c r="N121" s="4">
        <f t="shared" si="21"/>
        <v>0.10416666666666666</v>
      </c>
      <c r="O121" s="4">
        <f t="shared" si="22"/>
        <v>6320.2662037037035</v>
      </c>
      <c r="P121" s="5">
        <f t="shared" si="17"/>
        <v>1.5279220404512536E-2</v>
      </c>
      <c r="Q121" s="7">
        <v>36.832424970295008</v>
      </c>
      <c r="R121" s="7">
        <v>22.662620098675667</v>
      </c>
      <c r="S121" s="3">
        <v>79199.999999996187</v>
      </c>
      <c r="T121" s="6">
        <f t="shared" si="18"/>
        <v>0.14282004674109933</v>
      </c>
    </row>
    <row r="122" spans="1:20" x14ac:dyDescent="0.35">
      <c r="A122" s="2">
        <v>45167</v>
      </c>
      <c r="B122" s="3">
        <v>301464</v>
      </c>
      <c r="C122" s="3">
        <v>251480</v>
      </c>
      <c r="D122" s="3">
        <f t="shared" si="12"/>
        <v>552944</v>
      </c>
      <c r="E122" s="4">
        <f t="shared" si="13"/>
        <v>3489.1666666666665</v>
      </c>
      <c r="F122" s="4">
        <f t="shared" si="14"/>
        <v>2910.6481481481478</v>
      </c>
      <c r="G122" s="4">
        <f t="shared" si="15"/>
        <v>6399.8148148148139</v>
      </c>
      <c r="H122" s="3">
        <v>184282</v>
      </c>
      <c r="I122" s="3">
        <v>362092</v>
      </c>
      <c r="J122" s="3">
        <v>4</v>
      </c>
      <c r="K122" s="4">
        <f t="shared" si="16"/>
        <v>546378</v>
      </c>
      <c r="L122" s="4">
        <f t="shared" si="19"/>
        <v>2132.8935185185182</v>
      </c>
      <c r="M122" s="4">
        <f t="shared" si="20"/>
        <v>4190.8796296296296</v>
      </c>
      <c r="N122" s="4">
        <f t="shared" si="21"/>
        <v>4.6296296296296294E-2</v>
      </c>
      <c r="O122" s="4">
        <f t="shared" si="22"/>
        <v>6323.8194444444443</v>
      </c>
      <c r="P122" s="5">
        <f t="shared" si="17"/>
        <v>1.1874620214705287E-2</v>
      </c>
      <c r="Q122" s="7">
        <v>33.264653195792363</v>
      </c>
      <c r="R122" s="7">
        <v>23.342472293758501</v>
      </c>
      <c r="S122" s="3">
        <v>78239.999999999782</v>
      </c>
      <c r="T122" s="6">
        <f t="shared" si="18"/>
        <v>0.14149714980178785</v>
      </c>
    </row>
    <row r="123" spans="1:20" x14ac:dyDescent="0.35">
      <c r="A123" s="2">
        <v>45168</v>
      </c>
      <c r="B123" s="3">
        <v>299424</v>
      </c>
      <c r="C123" s="3">
        <v>253016</v>
      </c>
      <c r="D123" s="3">
        <f t="shared" si="12"/>
        <v>552440</v>
      </c>
      <c r="E123" s="4">
        <f t="shared" si="13"/>
        <v>3465.5555555555552</v>
      </c>
      <c r="F123" s="4">
        <f t="shared" si="14"/>
        <v>2928.4259259259256</v>
      </c>
      <c r="G123" s="4">
        <f t="shared" si="15"/>
        <v>6393.9814814814808</v>
      </c>
      <c r="H123" s="3">
        <v>184306</v>
      </c>
      <c r="I123" s="3">
        <v>360916</v>
      </c>
      <c r="J123" s="3">
        <v>9</v>
      </c>
      <c r="K123" s="4">
        <f t="shared" si="16"/>
        <v>545231</v>
      </c>
      <c r="L123" s="4">
        <f t="shared" si="19"/>
        <v>2133.1712962962961</v>
      </c>
      <c r="M123" s="4">
        <f t="shared" si="20"/>
        <v>4177.2685185185182</v>
      </c>
      <c r="N123" s="4">
        <f t="shared" si="21"/>
        <v>0.10416666666666666</v>
      </c>
      <c r="O123" s="4">
        <f t="shared" si="22"/>
        <v>6310.5439814814808</v>
      </c>
      <c r="P123" s="5">
        <f t="shared" si="17"/>
        <v>1.3049380928245601E-2</v>
      </c>
      <c r="Q123" s="7">
        <v>41.17175427898831</v>
      </c>
      <c r="R123" s="7">
        <v>22.23656867714141</v>
      </c>
      <c r="S123" s="3">
        <v>79560.000000004045</v>
      </c>
      <c r="T123" s="6">
        <f t="shared" si="18"/>
        <v>0.14401563970748688</v>
      </c>
    </row>
    <row r="124" spans="1:20" x14ac:dyDescent="0.35">
      <c r="A124" s="2">
        <v>45169</v>
      </c>
      <c r="B124" s="3">
        <v>297520</v>
      </c>
      <c r="C124" s="3">
        <v>254584</v>
      </c>
      <c r="D124" s="3">
        <f t="shared" si="12"/>
        <v>552104</v>
      </c>
      <c r="E124" s="4">
        <f t="shared" si="13"/>
        <v>3443.5185185185182</v>
      </c>
      <c r="F124" s="4">
        <f t="shared" si="14"/>
        <v>2946.5740740740739</v>
      </c>
      <c r="G124" s="4">
        <f t="shared" si="15"/>
        <v>6390.0925925925922</v>
      </c>
      <c r="H124" s="3">
        <v>184170</v>
      </c>
      <c r="I124" s="3">
        <v>360172</v>
      </c>
      <c r="J124" s="3">
        <v>8</v>
      </c>
      <c r="K124" s="4">
        <f t="shared" si="16"/>
        <v>544350</v>
      </c>
      <c r="L124" s="4">
        <f t="shared" si="19"/>
        <v>2131.5972222222222</v>
      </c>
      <c r="M124" s="4">
        <f t="shared" si="20"/>
        <v>4168.6574074074069</v>
      </c>
      <c r="N124" s="4">
        <f t="shared" si="21"/>
        <v>9.2592592592592587E-2</v>
      </c>
      <c r="O124" s="4">
        <f t="shared" si="22"/>
        <v>6300.3472222222217</v>
      </c>
      <c r="P124" s="5">
        <f t="shared" si="17"/>
        <v>1.4044455392462289E-2</v>
      </c>
      <c r="Q124" s="7">
        <v>39.732917070481278</v>
      </c>
      <c r="R124" s="7">
        <v>23.377986756118414</v>
      </c>
      <c r="S124" s="3">
        <v>79320.00000000016</v>
      </c>
      <c r="T124" s="6">
        <f t="shared" si="18"/>
        <v>0.1436685841797925</v>
      </c>
    </row>
    <row r="125" spans="1:20" x14ac:dyDescent="0.35">
      <c r="A125" s="2">
        <v>45170</v>
      </c>
      <c r="B125" s="3">
        <v>301840</v>
      </c>
      <c r="C125" s="3">
        <v>252984</v>
      </c>
      <c r="D125" s="3">
        <f t="shared" si="12"/>
        <v>554824</v>
      </c>
      <c r="E125" s="4">
        <f t="shared" si="13"/>
        <v>3493.5185185185182</v>
      </c>
      <c r="F125" s="4">
        <f t="shared" si="14"/>
        <v>2928.0555555555552</v>
      </c>
      <c r="G125" s="4">
        <f t="shared" si="15"/>
        <v>6421.574074074073</v>
      </c>
      <c r="H125" s="3">
        <v>184048</v>
      </c>
      <c r="I125" s="3">
        <v>362596</v>
      </c>
      <c r="J125" s="3">
        <v>14</v>
      </c>
      <c r="K125" s="4">
        <f t="shared" si="16"/>
        <v>546658</v>
      </c>
      <c r="L125" s="4">
        <f t="shared" si="19"/>
        <v>2130.1851851851852</v>
      </c>
      <c r="M125" s="4">
        <f t="shared" si="20"/>
        <v>4196.7129629629626</v>
      </c>
      <c r="N125" s="4">
        <f t="shared" si="21"/>
        <v>0.16203703703703703</v>
      </c>
      <c r="O125" s="4">
        <f t="shared" si="22"/>
        <v>6327.0601851851852</v>
      </c>
      <c r="P125" s="5">
        <f t="shared" si="17"/>
        <v>1.4718180900609923E-2</v>
      </c>
      <c r="Q125" s="7">
        <v>35.411857075545839</v>
      </c>
      <c r="R125" s="7">
        <v>22.447118365463641</v>
      </c>
      <c r="S125" s="3">
        <v>79019.999999996347</v>
      </c>
      <c r="T125" s="6">
        <f t="shared" si="18"/>
        <v>0.14242354332183962</v>
      </c>
    </row>
    <row r="126" spans="1:20" x14ac:dyDescent="0.35">
      <c r="A126" s="2">
        <v>45171</v>
      </c>
      <c r="B126" s="3">
        <v>301344</v>
      </c>
      <c r="C126" s="3">
        <v>250648</v>
      </c>
      <c r="D126" s="3">
        <f t="shared" si="12"/>
        <v>551992</v>
      </c>
      <c r="E126" s="4">
        <f t="shared" si="13"/>
        <v>3487.7777777777774</v>
      </c>
      <c r="F126" s="4">
        <f t="shared" si="14"/>
        <v>2901.0185185185182</v>
      </c>
      <c r="G126" s="4">
        <f t="shared" si="15"/>
        <v>6388.7962962962956</v>
      </c>
      <c r="H126" s="3">
        <v>184084</v>
      </c>
      <c r="I126" s="3">
        <v>362652</v>
      </c>
      <c r="J126" s="3">
        <v>8</v>
      </c>
      <c r="K126" s="4">
        <f t="shared" si="16"/>
        <v>546744</v>
      </c>
      <c r="L126" s="4">
        <f t="shared" si="19"/>
        <v>2130.6018518518517</v>
      </c>
      <c r="M126" s="4">
        <f t="shared" si="20"/>
        <v>4197.3611111111104</v>
      </c>
      <c r="N126" s="4">
        <f t="shared" si="21"/>
        <v>9.2592592592592587E-2</v>
      </c>
      <c r="O126" s="4">
        <f t="shared" si="22"/>
        <v>6328.0555555555538</v>
      </c>
      <c r="P126" s="5">
        <f t="shared" si="17"/>
        <v>9.507384164987899E-3</v>
      </c>
      <c r="Q126" s="7">
        <v>29.430492285251706</v>
      </c>
      <c r="R126" s="7">
        <v>22.357171843070191</v>
      </c>
      <c r="S126" s="3">
        <v>78539.999999999505</v>
      </c>
      <c r="T126" s="6">
        <f t="shared" si="18"/>
        <v>0.14228467079232943</v>
      </c>
    </row>
    <row r="127" spans="1:20" x14ac:dyDescent="0.35">
      <c r="A127" s="2">
        <v>45172</v>
      </c>
      <c r="B127" s="3">
        <v>299704</v>
      </c>
      <c r="C127" s="3">
        <v>251632</v>
      </c>
      <c r="D127" s="3">
        <f t="shared" si="12"/>
        <v>551336</v>
      </c>
      <c r="E127" s="4">
        <f t="shared" si="13"/>
        <v>3468.7962962962961</v>
      </c>
      <c r="F127" s="4">
        <f t="shared" si="14"/>
        <v>2912.4074074074074</v>
      </c>
      <c r="G127" s="4">
        <f t="shared" si="15"/>
        <v>6381.2037037037035</v>
      </c>
      <c r="H127" s="3">
        <v>183784</v>
      </c>
      <c r="I127" s="3">
        <v>361468</v>
      </c>
      <c r="J127" s="3">
        <v>9</v>
      </c>
      <c r="K127" s="4">
        <f t="shared" si="16"/>
        <v>545261</v>
      </c>
      <c r="L127" s="4">
        <f t="shared" si="19"/>
        <v>2127.1296296296296</v>
      </c>
      <c r="M127" s="4">
        <f t="shared" si="20"/>
        <v>4183.6574074074069</v>
      </c>
      <c r="N127" s="4">
        <f t="shared" si="21"/>
        <v>0.10416666666666666</v>
      </c>
      <c r="O127" s="4">
        <f t="shared" si="22"/>
        <v>6310.8912037037035</v>
      </c>
      <c r="P127" s="5">
        <f t="shared" si="17"/>
        <v>1.1018689147815489E-2</v>
      </c>
      <c r="Q127" s="7">
        <v>35.657972768656805</v>
      </c>
      <c r="R127" s="7">
        <v>24.026618976449932</v>
      </c>
      <c r="S127" s="3">
        <v>78299.999999999724</v>
      </c>
      <c r="T127" s="6">
        <f t="shared" si="18"/>
        <v>0.14201866012739914</v>
      </c>
    </row>
    <row r="128" spans="1:20" x14ac:dyDescent="0.35">
      <c r="A128" s="8">
        <v>45173</v>
      </c>
      <c r="B128" s="3">
        <v>300496</v>
      </c>
      <c r="C128" s="3">
        <v>250704</v>
      </c>
      <c r="D128" s="3">
        <f t="shared" si="12"/>
        <v>551200</v>
      </c>
      <c r="E128" s="4">
        <f t="shared" si="13"/>
        <v>3477.9629629629626</v>
      </c>
      <c r="F128" s="4">
        <f t="shared" si="14"/>
        <v>2901.6666666666665</v>
      </c>
      <c r="G128" s="4">
        <f t="shared" si="15"/>
        <v>6379.6296296296296</v>
      </c>
      <c r="H128" s="3">
        <v>184440</v>
      </c>
      <c r="I128" s="3">
        <v>361576</v>
      </c>
      <c r="J128" s="3">
        <v>8</v>
      </c>
      <c r="K128" s="4">
        <f t="shared" si="16"/>
        <v>546024</v>
      </c>
      <c r="L128" s="4">
        <f t="shared" si="19"/>
        <v>2134.7222222222222</v>
      </c>
      <c r="M128" s="4">
        <f t="shared" si="20"/>
        <v>4184.9074074074069</v>
      </c>
      <c r="N128" s="4">
        <f t="shared" si="21"/>
        <v>9.2592592592592587E-2</v>
      </c>
      <c r="O128" s="4">
        <f t="shared" si="22"/>
        <v>6319.7222222222217</v>
      </c>
      <c r="P128" s="5">
        <f t="shared" si="17"/>
        <v>9.3904208998548625E-3</v>
      </c>
      <c r="Q128" s="7">
        <v>36.330745405966248</v>
      </c>
      <c r="R128" s="7">
        <v>23.313624818577647</v>
      </c>
      <c r="S128" s="3">
        <v>78900.000000001906</v>
      </c>
      <c r="T128" s="6">
        <f t="shared" si="18"/>
        <v>0.14314223512337065</v>
      </c>
    </row>
    <row r="129" spans="1:20" x14ac:dyDescent="0.35">
      <c r="A129" s="2">
        <v>45174</v>
      </c>
      <c r="B129" s="3">
        <v>300720</v>
      </c>
      <c r="C129" s="3">
        <v>249448</v>
      </c>
      <c r="D129" s="3">
        <f t="shared" si="12"/>
        <v>550168</v>
      </c>
      <c r="E129" s="4">
        <f t="shared" si="13"/>
        <v>3480.5555555555552</v>
      </c>
      <c r="F129" s="4">
        <f t="shared" si="14"/>
        <v>2887.1296296296296</v>
      </c>
      <c r="G129" s="4">
        <f t="shared" si="15"/>
        <v>6367.6851851851843</v>
      </c>
      <c r="H129" s="3">
        <v>184092</v>
      </c>
      <c r="I129" s="3">
        <v>363636</v>
      </c>
      <c r="J129" s="3">
        <v>9</v>
      </c>
      <c r="K129" s="4">
        <f t="shared" si="16"/>
        <v>547737</v>
      </c>
      <c r="L129" s="4">
        <f t="shared" si="19"/>
        <v>2130.6944444444443</v>
      </c>
      <c r="M129" s="4">
        <f t="shared" si="20"/>
        <v>4208.75</v>
      </c>
      <c r="N129" s="4">
        <f t="shared" si="21"/>
        <v>0.10416666666666666</v>
      </c>
      <c r="O129" s="4">
        <f t="shared" si="22"/>
        <v>6339.5486111111113</v>
      </c>
      <c r="P129" s="5">
        <f t="shared" si="17"/>
        <v>4.4186503031801196E-3</v>
      </c>
      <c r="Q129" s="7">
        <v>34.121887006475312</v>
      </c>
      <c r="R129" s="7">
        <v>21.711022814849283</v>
      </c>
      <c r="S129" s="3">
        <v>78960.000000001863</v>
      </c>
      <c r="T129" s="6">
        <f t="shared" si="18"/>
        <v>0.14351979758910344</v>
      </c>
    </row>
    <row r="130" spans="1:20" x14ac:dyDescent="0.35">
      <c r="A130" s="2">
        <v>45175</v>
      </c>
      <c r="B130" s="3">
        <v>303120</v>
      </c>
      <c r="C130" s="3">
        <v>253514</v>
      </c>
      <c r="D130" s="3">
        <f t="shared" si="12"/>
        <v>556634</v>
      </c>
      <c r="E130" s="4">
        <f t="shared" si="13"/>
        <v>3508.333333333333</v>
      </c>
      <c r="F130" s="4">
        <f t="shared" si="14"/>
        <v>2934.1898148148148</v>
      </c>
      <c r="G130" s="4">
        <f t="shared" si="15"/>
        <v>6442.5231481481478</v>
      </c>
      <c r="H130" s="3">
        <v>184212</v>
      </c>
      <c r="I130" s="3">
        <v>364463</v>
      </c>
      <c r="J130" s="3">
        <v>8</v>
      </c>
      <c r="K130" s="4">
        <f t="shared" si="16"/>
        <v>548683</v>
      </c>
      <c r="L130" s="4">
        <f t="shared" si="19"/>
        <v>2132.083333333333</v>
      </c>
      <c r="M130" s="4">
        <f t="shared" si="20"/>
        <v>4218.3217592592591</v>
      </c>
      <c r="N130" s="4">
        <f t="shared" si="21"/>
        <v>9.2592592592592587E-2</v>
      </c>
      <c r="O130" s="4">
        <f t="shared" si="22"/>
        <v>6350.4976851851843</v>
      </c>
      <c r="P130" s="5">
        <f t="shared" si="17"/>
        <v>1.4284071759899682E-2</v>
      </c>
      <c r="Q130" s="7">
        <v>38.547485421300173</v>
      </c>
      <c r="R130" s="7">
        <v>21.662223292145288</v>
      </c>
      <c r="S130" s="3">
        <v>78719.999999997977</v>
      </c>
      <c r="T130" s="6">
        <f t="shared" si="18"/>
        <v>0.14142147263731281</v>
      </c>
    </row>
    <row r="131" spans="1:20" x14ac:dyDescent="0.35">
      <c r="A131" s="2">
        <v>45176</v>
      </c>
      <c r="B131" s="3">
        <v>301256</v>
      </c>
      <c r="C131" s="3">
        <v>252438</v>
      </c>
      <c r="D131" s="3">
        <f t="shared" si="12"/>
        <v>553694</v>
      </c>
      <c r="E131" s="4">
        <f t="shared" si="13"/>
        <v>3486.7592592592591</v>
      </c>
      <c r="F131" s="4">
        <f t="shared" si="14"/>
        <v>2921.7361111111109</v>
      </c>
      <c r="G131" s="4">
        <f t="shared" si="15"/>
        <v>6408.4953703703704</v>
      </c>
      <c r="H131" s="3">
        <v>184494</v>
      </c>
      <c r="I131" s="3">
        <v>364525</v>
      </c>
      <c r="J131" s="3">
        <v>10</v>
      </c>
      <c r="K131" s="4">
        <f t="shared" si="16"/>
        <v>549029</v>
      </c>
      <c r="L131" s="4">
        <f t="shared" si="19"/>
        <v>2135.3472222222222</v>
      </c>
      <c r="M131" s="4">
        <f t="shared" si="20"/>
        <v>4219.0393518518513</v>
      </c>
      <c r="N131" s="4">
        <f t="shared" si="21"/>
        <v>0.11574074074074073</v>
      </c>
      <c r="O131" s="4">
        <f t="shared" si="22"/>
        <v>6354.5023148148139</v>
      </c>
      <c r="P131" s="5">
        <f t="shared" si="17"/>
        <v>8.4252312649225024E-3</v>
      </c>
      <c r="Q131" s="7">
        <v>29.291811967982316</v>
      </c>
      <c r="R131" s="7">
        <v>22.595169895285121</v>
      </c>
      <c r="S131" s="3">
        <v>78899.999999999185</v>
      </c>
      <c r="T131" s="6">
        <f t="shared" si="18"/>
        <v>0.14249748055785177</v>
      </c>
    </row>
    <row r="132" spans="1:20" x14ac:dyDescent="0.35">
      <c r="A132" s="2">
        <v>45177</v>
      </c>
      <c r="B132" s="3">
        <v>300896</v>
      </c>
      <c r="C132" s="3">
        <v>248104</v>
      </c>
      <c r="D132" s="3">
        <f t="shared" ref="D132:D195" si="23">SUM(B132:C132)</f>
        <v>549000</v>
      </c>
      <c r="E132" s="4">
        <f t="shared" ref="E132:E195" si="24">B132/86.4</f>
        <v>3482.5925925925922</v>
      </c>
      <c r="F132" s="4">
        <f t="shared" ref="F132:F195" si="25">C132/86.4</f>
        <v>2871.5740740740739</v>
      </c>
      <c r="G132" s="4">
        <f t="shared" ref="G132:G195" si="26">SUM(E132:F132)</f>
        <v>6354.1666666666661</v>
      </c>
      <c r="H132" s="3">
        <v>183828</v>
      </c>
      <c r="I132" s="3">
        <v>364728</v>
      </c>
      <c r="J132" s="3">
        <v>12</v>
      </c>
      <c r="K132" s="4">
        <f t="shared" ref="K132:K195" si="27">SUM(H132:J132)</f>
        <v>548568</v>
      </c>
      <c r="L132" s="4">
        <f t="shared" si="19"/>
        <v>2127.6388888888887</v>
      </c>
      <c r="M132" s="4">
        <f t="shared" si="20"/>
        <v>4221.3888888888887</v>
      </c>
      <c r="N132" s="4">
        <f t="shared" si="21"/>
        <v>0.13888888888888887</v>
      </c>
      <c r="O132" s="4">
        <f t="shared" si="22"/>
        <v>6349.1666666666661</v>
      </c>
      <c r="P132" s="5">
        <f t="shared" ref="P132:P195" si="28">(D132-K132)/D132</f>
        <v>7.868852459016393E-4</v>
      </c>
      <c r="Q132" s="7">
        <v>32.234735085580091</v>
      </c>
      <c r="R132" s="7">
        <v>22.685245901639345</v>
      </c>
      <c r="S132" s="3">
        <v>79680.000000001193</v>
      </c>
      <c r="T132" s="6">
        <f t="shared" ref="T132:T195" si="29">S132/D132</f>
        <v>0.1451366120218601</v>
      </c>
    </row>
    <row r="133" spans="1:20" x14ac:dyDescent="0.35">
      <c r="A133" s="2">
        <v>45178</v>
      </c>
      <c r="B133" s="3">
        <v>303448</v>
      </c>
      <c r="C133" s="3">
        <v>249496</v>
      </c>
      <c r="D133" s="3">
        <f t="shared" si="23"/>
        <v>552944</v>
      </c>
      <c r="E133" s="4">
        <f t="shared" si="24"/>
        <v>3512.1296296296296</v>
      </c>
      <c r="F133" s="4">
        <f t="shared" si="25"/>
        <v>2887.6851851851852</v>
      </c>
      <c r="G133" s="4">
        <f t="shared" si="26"/>
        <v>6399.8148148148148</v>
      </c>
      <c r="H133" s="3">
        <v>183528</v>
      </c>
      <c r="I133" s="3">
        <v>365252</v>
      </c>
      <c r="J133" s="3">
        <v>9</v>
      </c>
      <c r="K133" s="4">
        <f t="shared" si="27"/>
        <v>548789</v>
      </c>
      <c r="L133" s="4">
        <f t="shared" ref="L133:L196" si="30">H133/86.4</f>
        <v>2124.1666666666665</v>
      </c>
      <c r="M133" s="4">
        <f t="shared" ref="M133:M196" si="31">I133/86.4</f>
        <v>4227.4537037037035</v>
      </c>
      <c r="N133" s="4">
        <f t="shared" ref="N133:N196" si="32">J133/86.4</f>
        <v>0.10416666666666666</v>
      </c>
      <c r="O133" s="4">
        <f t="shared" ref="O133:O196" si="33">SUM(L133:N133)</f>
        <v>6351.7245370370374</v>
      </c>
      <c r="P133" s="5">
        <f t="shared" si="28"/>
        <v>7.5143233311149053E-3</v>
      </c>
      <c r="Q133" s="7">
        <v>34.239514005142837</v>
      </c>
      <c r="R133" s="7">
        <v>21.909162591510171</v>
      </c>
      <c r="S133" s="3">
        <v>78360.000000001033</v>
      </c>
      <c r="T133" s="6">
        <f t="shared" si="29"/>
        <v>0.14171416997019776</v>
      </c>
    </row>
    <row r="134" spans="1:20" x14ac:dyDescent="0.35">
      <c r="A134" s="2">
        <v>45179</v>
      </c>
      <c r="B134" s="3">
        <v>302456</v>
      </c>
      <c r="C134" s="3">
        <v>250160</v>
      </c>
      <c r="D134" s="3">
        <f t="shared" si="23"/>
        <v>552616</v>
      </c>
      <c r="E134" s="4">
        <f t="shared" si="24"/>
        <v>3500.6481481481478</v>
      </c>
      <c r="F134" s="4">
        <f t="shared" si="25"/>
        <v>2895.37037037037</v>
      </c>
      <c r="G134" s="4">
        <f t="shared" si="26"/>
        <v>6396.0185185185182</v>
      </c>
      <c r="H134" s="3">
        <v>183244</v>
      </c>
      <c r="I134" s="3">
        <v>364240</v>
      </c>
      <c r="J134" s="3">
        <v>8</v>
      </c>
      <c r="K134" s="4">
        <f t="shared" si="27"/>
        <v>547492</v>
      </c>
      <c r="L134" s="4">
        <f t="shared" si="30"/>
        <v>2120.8796296296296</v>
      </c>
      <c r="M134" s="4">
        <f t="shared" si="31"/>
        <v>4215.7407407407409</v>
      </c>
      <c r="N134" s="4">
        <f t="shared" si="32"/>
        <v>9.2592592592592587E-2</v>
      </c>
      <c r="O134" s="4">
        <f t="shared" si="33"/>
        <v>6336.7129629629626</v>
      </c>
      <c r="P134" s="5">
        <f t="shared" si="28"/>
        <v>9.272261389463932E-3</v>
      </c>
      <c r="Q134" s="7">
        <v>34.125760888824871</v>
      </c>
      <c r="R134" s="7">
        <v>22.43436672119519</v>
      </c>
      <c r="S134" s="3">
        <v>79199.999999997541</v>
      </c>
      <c r="T134" s="6">
        <f t="shared" si="29"/>
        <v>0.14331832592613594</v>
      </c>
    </row>
    <row r="135" spans="1:20" x14ac:dyDescent="0.35">
      <c r="A135" s="8">
        <v>45180</v>
      </c>
      <c r="B135" s="3">
        <v>304432</v>
      </c>
      <c r="C135" s="3">
        <v>249192</v>
      </c>
      <c r="D135" s="3">
        <f t="shared" si="23"/>
        <v>553624</v>
      </c>
      <c r="E135" s="4">
        <f t="shared" si="24"/>
        <v>3523.5185185185182</v>
      </c>
      <c r="F135" s="4">
        <f t="shared" si="25"/>
        <v>2884.1666666666665</v>
      </c>
      <c r="G135" s="4">
        <f t="shared" si="26"/>
        <v>6407.6851851851843</v>
      </c>
      <c r="H135" s="3">
        <v>184204</v>
      </c>
      <c r="I135" s="3">
        <v>363904</v>
      </c>
      <c r="J135" s="3">
        <v>14</v>
      </c>
      <c r="K135" s="4">
        <f t="shared" si="27"/>
        <v>548122</v>
      </c>
      <c r="L135" s="4">
        <f t="shared" si="30"/>
        <v>2131.9907407407404</v>
      </c>
      <c r="M135" s="4">
        <f t="shared" si="31"/>
        <v>4211.8518518518513</v>
      </c>
      <c r="N135" s="4">
        <f t="shared" si="32"/>
        <v>0.16203703703703703</v>
      </c>
      <c r="O135" s="4">
        <f t="shared" si="33"/>
        <v>6344.0046296296287</v>
      </c>
      <c r="P135" s="5">
        <f t="shared" si="28"/>
        <v>9.9381529702469544E-3</v>
      </c>
      <c r="Q135" s="7">
        <v>31.477266621747521</v>
      </c>
      <c r="R135" s="7">
        <v>23.109294394751672</v>
      </c>
      <c r="S135" s="3">
        <v>79620.000000002619</v>
      </c>
      <c r="T135" s="6">
        <f t="shared" si="29"/>
        <v>0.14381601953673001</v>
      </c>
    </row>
    <row r="136" spans="1:20" x14ac:dyDescent="0.35">
      <c r="A136" s="2">
        <v>45181</v>
      </c>
      <c r="B136" s="3">
        <v>302360</v>
      </c>
      <c r="C136" s="3">
        <v>248040</v>
      </c>
      <c r="D136" s="3">
        <f t="shared" si="23"/>
        <v>550400</v>
      </c>
      <c r="E136" s="4">
        <f t="shared" si="24"/>
        <v>3499.537037037037</v>
      </c>
      <c r="F136" s="4">
        <f t="shared" si="25"/>
        <v>2870.833333333333</v>
      </c>
      <c r="G136" s="4">
        <f t="shared" si="26"/>
        <v>6370.3703703703704</v>
      </c>
      <c r="H136" s="3">
        <v>184204</v>
      </c>
      <c r="I136" s="3">
        <v>363736</v>
      </c>
      <c r="J136" s="3">
        <v>12</v>
      </c>
      <c r="K136" s="4">
        <f t="shared" si="27"/>
        <v>547952</v>
      </c>
      <c r="L136" s="4">
        <f t="shared" si="30"/>
        <v>2131.9907407407404</v>
      </c>
      <c r="M136" s="4">
        <f t="shared" si="31"/>
        <v>4209.9074074074069</v>
      </c>
      <c r="N136" s="4">
        <f t="shared" si="32"/>
        <v>0.13888888888888887</v>
      </c>
      <c r="O136" s="4">
        <f t="shared" si="33"/>
        <v>6342.0370370370365</v>
      </c>
      <c r="P136" s="5">
        <f t="shared" si="28"/>
        <v>4.4476744186046514E-3</v>
      </c>
      <c r="Q136" s="7">
        <v>34.547333749759758</v>
      </c>
      <c r="R136" s="7">
        <v>22.730396075581396</v>
      </c>
      <c r="S136" s="3">
        <v>79139.999999998967</v>
      </c>
      <c r="T136" s="6">
        <f t="shared" si="29"/>
        <v>0.14378633720930045</v>
      </c>
    </row>
    <row r="137" spans="1:20" x14ac:dyDescent="0.35">
      <c r="A137" s="2">
        <v>45182</v>
      </c>
      <c r="B137" s="3">
        <v>306296</v>
      </c>
      <c r="C137" s="3">
        <v>251128</v>
      </c>
      <c r="D137" s="3">
        <f t="shared" si="23"/>
        <v>557424</v>
      </c>
      <c r="E137" s="4">
        <f t="shared" si="24"/>
        <v>3545.0925925925922</v>
      </c>
      <c r="F137" s="4">
        <f t="shared" si="25"/>
        <v>2906.5740740740739</v>
      </c>
      <c r="G137" s="4">
        <f t="shared" si="26"/>
        <v>6451.6666666666661</v>
      </c>
      <c r="H137" s="3">
        <v>183992</v>
      </c>
      <c r="I137" s="3">
        <v>364128</v>
      </c>
      <c r="J137" s="3">
        <v>22</v>
      </c>
      <c r="K137" s="4">
        <f t="shared" si="27"/>
        <v>548142</v>
      </c>
      <c r="L137" s="4">
        <f t="shared" si="30"/>
        <v>2129.537037037037</v>
      </c>
      <c r="M137" s="4">
        <f t="shared" si="31"/>
        <v>4214.4444444444443</v>
      </c>
      <c r="N137" s="4">
        <f t="shared" si="32"/>
        <v>0.25462962962962959</v>
      </c>
      <c r="O137" s="4">
        <f t="shared" si="33"/>
        <v>6344.2361111111113</v>
      </c>
      <c r="P137" s="5">
        <f t="shared" si="28"/>
        <v>1.665159734779988E-2</v>
      </c>
      <c r="Q137" s="7">
        <v>30.954765875210146</v>
      </c>
      <c r="R137" s="7">
        <v>26.201562903642468</v>
      </c>
      <c r="S137" s="3">
        <v>79379.999999998749</v>
      </c>
      <c r="T137" s="6">
        <f t="shared" si="29"/>
        <v>0.142405063291137</v>
      </c>
    </row>
    <row r="138" spans="1:20" x14ac:dyDescent="0.35">
      <c r="A138" s="2">
        <v>45183</v>
      </c>
      <c r="B138" s="3">
        <v>304752</v>
      </c>
      <c r="C138" s="3">
        <v>249840</v>
      </c>
      <c r="D138" s="3">
        <f t="shared" si="23"/>
        <v>554592</v>
      </c>
      <c r="E138" s="4">
        <f t="shared" si="24"/>
        <v>3527.2222222222222</v>
      </c>
      <c r="F138" s="4">
        <f t="shared" si="25"/>
        <v>2891.6666666666665</v>
      </c>
      <c r="G138" s="4">
        <f t="shared" si="26"/>
        <v>6418.8888888888887</v>
      </c>
      <c r="H138" s="3">
        <v>184016</v>
      </c>
      <c r="I138" s="3">
        <v>363880</v>
      </c>
      <c r="J138" s="3">
        <v>22</v>
      </c>
      <c r="K138" s="4">
        <f t="shared" si="27"/>
        <v>547918</v>
      </c>
      <c r="L138" s="4">
        <f t="shared" si="30"/>
        <v>2129.8148148148148</v>
      </c>
      <c r="M138" s="4">
        <f t="shared" si="31"/>
        <v>4211.5740740740739</v>
      </c>
      <c r="N138" s="4">
        <f t="shared" si="32"/>
        <v>0.25462962962962959</v>
      </c>
      <c r="O138" s="4">
        <f t="shared" si="33"/>
        <v>6341.6435185185182</v>
      </c>
      <c r="P138" s="5">
        <f t="shared" si="28"/>
        <v>1.2034071894293463E-2</v>
      </c>
      <c r="Q138" s="7">
        <v>36.234192280612163</v>
      </c>
      <c r="R138" s="7">
        <v>21.741983295828284</v>
      </c>
      <c r="S138" s="3">
        <v>77880.00000000147</v>
      </c>
      <c r="T138" s="6">
        <f t="shared" si="29"/>
        <v>0.14042755755582748</v>
      </c>
    </row>
    <row r="139" spans="1:20" x14ac:dyDescent="0.35">
      <c r="A139" s="2">
        <v>45184</v>
      </c>
      <c r="B139" s="3">
        <v>301048</v>
      </c>
      <c r="C139" s="3">
        <v>247352</v>
      </c>
      <c r="D139" s="3">
        <f t="shared" si="23"/>
        <v>548400</v>
      </c>
      <c r="E139" s="4">
        <f t="shared" si="24"/>
        <v>3484.3518518518517</v>
      </c>
      <c r="F139" s="4">
        <f t="shared" si="25"/>
        <v>2862.87037037037</v>
      </c>
      <c r="G139" s="4">
        <f t="shared" si="26"/>
        <v>6347.2222222222217</v>
      </c>
      <c r="H139" s="3">
        <v>183940</v>
      </c>
      <c r="I139" s="3">
        <v>364656</v>
      </c>
      <c r="J139" s="3">
        <v>9</v>
      </c>
      <c r="K139" s="4">
        <f t="shared" si="27"/>
        <v>548605</v>
      </c>
      <c r="L139" s="4">
        <f t="shared" si="30"/>
        <v>2128.9351851851852</v>
      </c>
      <c r="M139" s="4">
        <f t="shared" si="31"/>
        <v>4220.5555555555557</v>
      </c>
      <c r="N139" s="4">
        <f t="shared" si="32"/>
        <v>0.10416666666666666</v>
      </c>
      <c r="O139" s="4">
        <f t="shared" si="33"/>
        <v>6349.5949074074078</v>
      </c>
      <c r="P139" s="5">
        <f t="shared" si="28"/>
        <v>-3.7381473377097007E-4</v>
      </c>
      <c r="Q139" s="7">
        <v>42.273443782363124</v>
      </c>
      <c r="R139" s="7">
        <v>21.987472647702408</v>
      </c>
      <c r="S139" s="3">
        <v>79739.999999998414</v>
      </c>
      <c r="T139" s="6">
        <f t="shared" si="29"/>
        <v>0.14540481400437347</v>
      </c>
    </row>
    <row r="140" spans="1:20" x14ac:dyDescent="0.35">
      <c r="A140" s="2">
        <v>45185</v>
      </c>
      <c r="B140" s="3">
        <v>299680</v>
      </c>
      <c r="C140" s="3">
        <v>246864</v>
      </c>
      <c r="D140" s="3">
        <f t="shared" si="23"/>
        <v>546544</v>
      </c>
      <c r="E140" s="4">
        <f t="shared" si="24"/>
        <v>3468.5185185185182</v>
      </c>
      <c r="F140" s="4">
        <f t="shared" si="25"/>
        <v>2857.2222222222222</v>
      </c>
      <c r="G140" s="4">
        <f t="shared" si="26"/>
        <v>6325.7407407407409</v>
      </c>
      <c r="H140" s="3">
        <v>183552</v>
      </c>
      <c r="I140" s="3">
        <v>360400</v>
      </c>
      <c r="J140" s="3">
        <v>8</v>
      </c>
      <c r="K140" s="4">
        <f t="shared" si="27"/>
        <v>543960</v>
      </c>
      <c r="L140" s="4">
        <f t="shared" si="30"/>
        <v>2124.4444444444443</v>
      </c>
      <c r="M140" s="4">
        <f t="shared" si="31"/>
        <v>4171.2962962962956</v>
      </c>
      <c r="N140" s="4">
        <f t="shared" si="32"/>
        <v>9.2592592592592587E-2</v>
      </c>
      <c r="O140" s="4">
        <f t="shared" si="33"/>
        <v>6295.8333333333321</v>
      </c>
      <c r="P140" s="5">
        <f t="shared" si="28"/>
        <v>4.7278901607189904E-3</v>
      </c>
      <c r="Q140" s="7">
        <v>38.772982913642302</v>
      </c>
      <c r="R140" s="7">
        <v>21.233514593518546</v>
      </c>
      <c r="S140" s="3">
        <v>79199.999999998909</v>
      </c>
      <c r="T140" s="6">
        <f t="shared" si="29"/>
        <v>0.14491056529757698</v>
      </c>
    </row>
    <row r="141" spans="1:20" x14ac:dyDescent="0.35">
      <c r="A141" s="2">
        <v>45186</v>
      </c>
      <c r="B141" s="3">
        <v>308272</v>
      </c>
      <c r="C141" s="3">
        <v>253408</v>
      </c>
      <c r="D141" s="3">
        <f t="shared" si="23"/>
        <v>561680</v>
      </c>
      <c r="E141" s="4">
        <f t="shared" si="24"/>
        <v>3567.9629629629626</v>
      </c>
      <c r="F141" s="4">
        <f t="shared" si="25"/>
        <v>2932.9629629629626</v>
      </c>
      <c r="G141" s="4">
        <f t="shared" si="26"/>
        <v>6500.9259259259252</v>
      </c>
      <c r="H141" s="3">
        <v>183980</v>
      </c>
      <c r="I141" s="3">
        <v>365832</v>
      </c>
      <c r="J141" s="3">
        <v>4</v>
      </c>
      <c r="K141" s="4">
        <f t="shared" si="27"/>
        <v>549816</v>
      </c>
      <c r="L141" s="4">
        <f t="shared" si="30"/>
        <v>2129.3981481481478</v>
      </c>
      <c r="M141" s="4">
        <f t="shared" si="31"/>
        <v>4234.1666666666661</v>
      </c>
      <c r="N141" s="4">
        <f t="shared" si="32"/>
        <v>4.6296296296296294E-2</v>
      </c>
      <c r="O141" s="4">
        <f t="shared" si="33"/>
        <v>6363.6111111111104</v>
      </c>
      <c r="P141" s="5">
        <f t="shared" si="28"/>
        <v>2.1122347243982337E-2</v>
      </c>
      <c r="Q141" s="7">
        <v>40.590141190948991</v>
      </c>
      <c r="R141" s="7">
        <v>21.971549636803875</v>
      </c>
      <c r="S141" s="3">
        <v>78300.000000003813</v>
      </c>
      <c r="T141" s="6">
        <f t="shared" si="29"/>
        <v>0.13940321891469132</v>
      </c>
    </row>
    <row r="142" spans="1:20" x14ac:dyDescent="0.35">
      <c r="A142" s="8">
        <v>45187</v>
      </c>
      <c r="B142" s="3">
        <v>299776</v>
      </c>
      <c r="C142" s="3">
        <v>247688</v>
      </c>
      <c r="D142" s="3">
        <f t="shared" si="23"/>
        <v>547464</v>
      </c>
      <c r="E142" s="4">
        <f t="shared" si="24"/>
        <v>3469.6296296296296</v>
      </c>
      <c r="F142" s="4">
        <f t="shared" si="25"/>
        <v>2866.7592592592591</v>
      </c>
      <c r="G142" s="4">
        <f t="shared" si="26"/>
        <v>6336.3888888888887</v>
      </c>
      <c r="H142" s="3">
        <v>174844</v>
      </c>
      <c r="I142" s="3">
        <v>365328</v>
      </c>
      <c r="J142" s="3">
        <v>19</v>
      </c>
      <c r="K142" s="4">
        <f t="shared" si="27"/>
        <v>540191</v>
      </c>
      <c r="L142" s="4">
        <f t="shared" si="30"/>
        <v>2023.6574074074072</v>
      </c>
      <c r="M142" s="4">
        <f t="shared" si="31"/>
        <v>4228.333333333333</v>
      </c>
      <c r="N142" s="4">
        <f t="shared" si="32"/>
        <v>0.21990740740740738</v>
      </c>
      <c r="O142" s="4">
        <f t="shared" si="33"/>
        <v>6252.2106481481478</v>
      </c>
      <c r="P142" s="5">
        <f t="shared" si="28"/>
        <v>1.3284891791971709E-2</v>
      </c>
      <c r="Q142" s="7">
        <v>26.432157628267163</v>
      </c>
      <c r="R142" s="7">
        <v>26.26463109903117</v>
      </c>
      <c r="S142" s="3">
        <v>78000</v>
      </c>
      <c r="T142" s="6">
        <f t="shared" si="29"/>
        <v>0.14247512165183465</v>
      </c>
    </row>
    <row r="143" spans="1:20" x14ac:dyDescent="0.35">
      <c r="A143" s="2">
        <v>45188</v>
      </c>
      <c r="B143" s="3">
        <v>297648</v>
      </c>
      <c r="C143" s="3">
        <v>246968</v>
      </c>
      <c r="D143" s="3">
        <f t="shared" si="23"/>
        <v>544616</v>
      </c>
      <c r="E143" s="4">
        <f t="shared" si="24"/>
        <v>3445</v>
      </c>
      <c r="F143" s="4">
        <f t="shared" si="25"/>
        <v>2858.4259259259256</v>
      </c>
      <c r="G143" s="4">
        <f t="shared" si="26"/>
        <v>6303.4259259259252</v>
      </c>
      <c r="H143" s="3">
        <v>168316</v>
      </c>
      <c r="I143" s="3">
        <v>365064</v>
      </c>
      <c r="J143" s="3">
        <v>13</v>
      </c>
      <c r="K143" s="4">
        <f t="shared" si="27"/>
        <v>533393</v>
      </c>
      <c r="L143" s="4">
        <f t="shared" si="30"/>
        <v>1948.1018518518517</v>
      </c>
      <c r="M143" s="4">
        <f t="shared" si="31"/>
        <v>4225.2777777777774</v>
      </c>
      <c r="N143" s="4">
        <f t="shared" si="32"/>
        <v>0.15046296296296297</v>
      </c>
      <c r="O143" s="4">
        <f t="shared" si="33"/>
        <v>6173.5300925925922</v>
      </c>
      <c r="P143" s="5">
        <f t="shared" si="28"/>
        <v>2.0607180104881238E-2</v>
      </c>
      <c r="Q143" s="7">
        <v>30.279067671548884</v>
      </c>
      <c r="R143" s="7">
        <v>22.86785551654744</v>
      </c>
      <c r="S143" s="3">
        <v>77760.000000000218</v>
      </c>
      <c r="T143" s="6">
        <f t="shared" si="29"/>
        <v>0.14277949968418155</v>
      </c>
    </row>
    <row r="144" spans="1:20" x14ac:dyDescent="0.35">
      <c r="A144" s="2">
        <v>45189</v>
      </c>
      <c r="B144" s="3">
        <v>303696</v>
      </c>
      <c r="C144" s="3">
        <v>247608</v>
      </c>
      <c r="D144" s="3">
        <f t="shared" si="23"/>
        <v>551304</v>
      </c>
      <c r="E144" s="4">
        <f t="shared" si="24"/>
        <v>3514.9999999999995</v>
      </c>
      <c r="F144" s="4">
        <f t="shared" si="25"/>
        <v>2865.833333333333</v>
      </c>
      <c r="G144" s="4">
        <f t="shared" si="26"/>
        <v>6380.8333333333321</v>
      </c>
      <c r="H144" s="3">
        <v>186568</v>
      </c>
      <c r="I144" s="3">
        <v>362888</v>
      </c>
      <c r="J144" s="3">
        <v>18</v>
      </c>
      <c r="K144" s="4">
        <f t="shared" si="27"/>
        <v>549474</v>
      </c>
      <c r="L144" s="4">
        <f t="shared" si="30"/>
        <v>2159.3518518518517</v>
      </c>
      <c r="M144" s="4">
        <f t="shared" si="31"/>
        <v>4200.0925925925922</v>
      </c>
      <c r="N144" s="4">
        <f t="shared" si="32"/>
        <v>0.20833333333333331</v>
      </c>
      <c r="O144" s="4">
        <f t="shared" si="33"/>
        <v>6359.6527777777765</v>
      </c>
      <c r="P144" s="5">
        <f t="shared" si="28"/>
        <v>3.319402725175221E-3</v>
      </c>
      <c r="Q144" s="7">
        <v>32.857935664599509</v>
      </c>
      <c r="R144" s="7">
        <v>22.487756301423534</v>
      </c>
      <c r="S144" s="3">
        <v>80279.999999996566</v>
      </c>
      <c r="T144" s="6">
        <f t="shared" si="29"/>
        <v>0.14561838840276248</v>
      </c>
    </row>
    <row r="145" spans="1:20" x14ac:dyDescent="0.35">
      <c r="A145" s="2">
        <v>45190</v>
      </c>
      <c r="B145" s="3">
        <v>306960</v>
      </c>
      <c r="C145" s="3">
        <v>249360</v>
      </c>
      <c r="D145" s="3">
        <f t="shared" si="23"/>
        <v>556320</v>
      </c>
      <c r="E145" s="4">
        <f t="shared" si="24"/>
        <v>3552.7777777777774</v>
      </c>
      <c r="F145" s="4">
        <f t="shared" si="25"/>
        <v>2886.1111111111109</v>
      </c>
      <c r="G145" s="4">
        <f t="shared" si="26"/>
        <v>6438.8888888888887</v>
      </c>
      <c r="H145" s="3">
        <v>183912</v>
      </c>
      <c r="I145" s="3">
        <v>363264</v>
      </c>
      <c r="J145" s="3">
        <v>13</v>
      </c>
      <c r="K145" s="4">
        <f t="shared" si="27"/>
        <v>547189</v>
      </c>
      <c r="L145" s="4">
        <f t="shared" si="30"/>
        <v>2128.6111111111109</v>
      </c>
      <c r="M145" s="4">
        <f t="shared" si="31"/>
        <v>4204.4444444444443</v>
      </c>
      <c r="N145" s="4">
        <f t="shared" si="32"/>
        <v>0.15046296296296297</v>
      </c>
      <c r="O145" s="4">
        <f t="shared" si="33"/>
        <v>6333.2060185185173</v>
      </c>
      <c r="P145" s="5">
        <f t="shared" si="28"/>
        <v>1.6413215415588149E-2</v>
      </c>
      <c r="Q145" s="7">
        <v>32.62432735366054</v>
      </c>
      <c r="R145" s="7">
        <v>22.386755823986196</v>
      </c>
      <c r="S145" s="3">
        <v>78900.000000003274</v>
      </c>
      <c r="T145" s="6">
        <f t="shared" si="29"/>
        <v>0.1418248490077712</v>
      </c>
    </row>
    <row r="146" spans="1:20" x14ac:dyDescent="0.35">
      <c r="A146" s="2">
        <v>45191</v>
      </c>
      <c r="B146" s="3">
        <v>307528</v>
      </c>
      <c r="C146" s="3">
        <v>249920</v>
      </c>
      <c r="D146" s="3">
        <f t="shared" si="23"/>
        <v>557448</v>
      </c>
      <c r="E146" s="4">
        <f t="shared" si="24"/>
        <v>3559.3518518518517</v>
      </c>
      <c r="F146" s="4">
        <f t="shared" si="25"/>
        <v>2892.5925925925926</v>
      </c>
      <c r="G146" s="4">
        <f t="shared" si="26"/>
        <v>6451.9444444444443</v>
      </c>
      <c r="H146" s="3">
        <v>183804</v>
      </c>
      <c r="I146" s="3">
        <v>364784</v>
      </c>
      <c r="J146" s="3">
        <v>9</v>
      </c>
      <c r="K146" s="4">
        <f t="shared" si="27"/>
        <v>548597</v>
      </c>
      <c r="L146" s="4">
        <f t="shared" si="30"/>
        <v>2127.3611111111109</v>
      </c>
      <c r="M146" s="4">
        <f t="shared" si="31"/>
        <v>4222.0370370370365</v>
      </c>
      <c r="N146" s="4">
        <f t="shared" si="32"/>
        <v>0.10416666666666666</v>
      </c>
      <c r="O146" s="4">
        <f t="shared" si="33"/>
        <v>6349.5023148148148</v>
      </c>
      <c r="P146" s="5">
        <f t="shared" si="28"/>
        <v>1.5877714154504098E-2</v>
      </c>
      <c r="Q146" s="7">
        <v>36.762232264246485</v>
      </c>
      <c r="R146" s="7">
        <v>24.98180996254359</v>
      </c>
      <c r="S146" s="3">
        <v>77760.000000000218</v>
      </c>
      <c r="T146" s="6">
        <f t="shared" si="29"/>
        <v>0.13949283161837556</v>
      </c>
    </row>
    <row r="147" spans="1:20" x14ac:dyDescent="0.35">
      <c r="A147" s="2">
        <v>45192</v>
      </c>
      <c r="B147" s="3">
        <v>304424</v>
      </c>
      <c r="C147" s="3">
        <v>249792</v>
      </c>
      <c r="D147" s="3">
        <f t="shared" si="23"/>
        <v>554216</v>
      </c>
      <c r="E147" s="4">
        <f t="shared" si="24"/>
        <v>3523.4259259259256</v>
      </c>
      <c r="F147" s="4">
        <f t="shared" si="25"/>
        <v>2891.1111111111109</v>
      </c>
      <c r="G147" s="4">
        <f t="shared" si="26"/>
        <v>6414.5370370370365</v>
      </c>
      <c r="H147" s="3">
        <v>183392</v>
      </c>
      <c r="I147" s="3">
        <v>365136</v>
      </c>
      <c r="J147" s="3">
        <v>21</v>
      </c>
      <c r="K147" s="4">
        <f t="shared" si="27"/>
        <v>548549</v>
      </c>
      <c r="L147" s="4">
        <f t="shared" si="30"/>
        <v>2122.5925925925926</v>
      </c>
      <c r="M147" s="4">
        <f t="shared" si="31"/>
        <v>4226.1111111111104</v>
      </c>
      <c r="N147" s="4">
        <f t="shared" si="32"/>
        <v>0.24305555555555555</v>
      </c>
      <c r="O147" s="4">
        <f t="shared" si="33"/>
        <v>6348.9467592592582</v>
      </c>
      <c r="P147" s="5">
        <f t="shared" si="28"/>
        <v>1.0225255135181952E-2</v>
      </c>
      <c r="Q147" s="7">
        <v>43.458719573727087</v>
      </c>
      <c r="R147" s="7">
        <v>23.084609610693303</v>
      </c>
      <c r="S147" s="3">
        <v>79199.999999997541</v>
      </c>
      <c r="T147" s="6">
        <f t="shared" si="29"/>
        <v>0.14290457150280314</v>
      </c>
    </row>
    <row r="148" spans="1:20" x14ac:dyDescent="0.35">
      <c r="A148" s="2">
        <v>45193</v>
      </c>
      <c r="B148" s="3">
        <v>302360</v>
      </c>
      <c r="C148" s="3">
        <v>250168</v>
      </c>
      <c r="D148" s="3">
        <f t="shared" si="23"/>
        <v>552528</v>
      </c>
      <c r="E148" s="4">
        <f t="shared" si="24"/>
        <v>3499.537037037037</v>
      </c>
      <c r="F148" s="4">
        <f t="shared" si="25"/>
        <v>2895.4629629629626</v>
      </c>
      <c r="G148" s="4">
        <f t="shared" si="26"/>
        <v>6395</v>
      </c>
      <c r="H148" s="3">
        <v>182568</v>
      </c>
      <c r="I148" s="3">
        <v>365928</v>
      </c>
      <c r="J148" s="3">
        <v>16</v>
      </c>
      <c r="K148" s="4">
        <f t="shared" si="27"/>
        <v>548512</v>
      </c>
      <c r="L148" s="4">
        <f t="shared" si="30"/>
        <v>2113.0555555555552</v>
      </c>
      <c r="M148" s="4">
        <f t="shared" si="31"/>
        <v>4235.2777777777774</v>
      </c>
      <c r="N148" s="4">
        <f t="shared" si="32"/>
        <v>0.18518518518518517</v>
      </c>
      <c r="O148" s="4">
        <f t="shared" si="33"/>
        <v>6348.5185185185173</v>
      </c>
      <c r="P148" s="5">
        <f t="shared" si="28"/>
        <v>7.2684099267367446E-3</v>
      </c>
      <c r="Q148" s="7">
        <v>41.661050362535008</v>
      </c>
      <c r="R148" s="7">
        <v>23.257590565546</v>
      </c>
      <c r="S148" s="3">
        <v>77760.000000000218</v>
      </c>
      <c r="T148" s="6">
        <f t="shared" si="29"/>
        <v>0.14073494917904653</v>
      </c>
    </row>
    <row r="149" spans="1:20" x14ac:dyDescent="0.35">
      <c r="A149" s="2">
        <v>45194</v>
      </c>
      <c r="B149" s="3">
        <v>304560</v>
      </c>
      <c r="C149" s="3">
        <v>252576</v>
      </c>
      <c r="D149" s="3">
        <f t="shared" si="23"/>
        <v>557136</v>
      </c>
      <c r="E149" s="4">
        <f t="shared" si="24"/>
        <v>3524.9999999999995</v>
      </c>
      <c r="F149" s="4">
        <f t="shared" si="25"/>
        <v>2923.333333333333</v>
      </c>
      <c r="G149" s="4">
        <f t="shared" si="26"/>
        <v>6448.3333333333321</v>
      </c>
      <c r="H149" s="3">
        <v>183664</v>
      </c>
      <c r="I149" s="3">
        <v>365704</v>
      </c>
      <c r="J149" s="3">
        <v>9</v>
      </c>
      <c r="K149" s="4">
        <f t="shared" si="27"/>
        <v>549377</v>
      </c>
      <c r="L149" s="4">
        <f t="shared" si="30"/>
        <v>2125.7407407407404</v>
      </c>
      <c r="M149" s="4">
        <f t="shared" si="31"/>
        <v>4232.6851851851852</v>
      </c>
      <c r="N149" s="4">
        <f t="shared" si="32"/>
        <v>0.10416666666666666</v>
      </c>
      <c r="O149" s="4">
        <f t="shared" si="33"/>
        <v>6358.5300925925922</v>
      </c>
      <c r="P149" s="5">
        <f t="shared" si="28"/>
        <v>1.3926581660492232E-2</v>
      </c>
      <c r="Q149" s="7">
        <v>35.049312855285152</v>
      </c>
      <c r="R149" s="7">
        <v>23.16683897647971</v>
      </c>
      <c r="S149" s="3">
        <v>79319.999999997439</v>
      </c>
      <c r="T149" s="6">
        <f t="shared" si="29"/>
        <v>0.14237098302747883</v>
      </c>
    </row>
    <row r="150" spans="1:20" x14ac:dyDescent="0.35">
      <c r="A150" s="2">
        <v>45195</v>
      </c>
      <c r="B150" s="3">
        <v>302648</v>
      </c>
      <c r="C150" s="3">
        <v>249568</v>
      </c>
      <c r="D150" s="3">
        <f t="shared" si="23"/>
        <v>552216</v>
      </c>
      <c r="E150" s="4">
        <f t="shared" si="24"/>
        <v>3502.87037037037</v>
      </c>
      <c r="F150" s="4">
        <f t="shared" si="25"/>
        <v>2888.5185185185182</v>
      </c>
      <c r="G150" s="4">
        <f t="shared" si="26"/>
        <v>6391.3888888888887</v>
      </c>
      <c r="H150" s="3">
        <v>183028</v>
      </c>
      <c r="I150" s="3">
        <v>366132</v>
      </c>
      <c r="J150" s="3">
        <v>9</v>
      </c>
      <c r="K150" s="4">
        <f t="shared" si="27"/>
        <v>549169</v>
      </c>
      <c r="L150" s="4">
        <f t="shared" si="30"/>
        <v>2118.3796296296296</v>
      </c>
      <c r="M150" s="4">
        <f t="shared" si="31"/>
        <v>4237.6388888888887</v>
      </c>
      <c r="N150" s="4">
        <f t="shared" si="32"/>
        <v>0.10416666666666666</v>
      </c>
      <c r="O150" s="4">
        <f t="shared" si="33"/>
        <v>6356.1226851851852</v>
      </c>
      <c r="P150" s="5">
        <f t="shared" si="28"/>
        <v>5.5177684094629637E-3</v>
      </c>
      <c r="Q150" s="7">
        <v>25.240553178556194</v>
      </c>
      <c r="R150" s="7">
        <v>22.245588682689384</v>
      </c>
      <c r="S150" s="3">
        <v>79440.000000004147</v>
      </c>
      <c r="T150" s="6">
        <f t="shared" si="29"/>
        <v>0.14385675170586174</v>
      </c>
    </row>
    <row r="151" spans="1:20" x14ac:dyDescent="0.35">
      <c r="A151" s="2">
        <v>45196</v>
      </c>
      <c r="B151" s="3">
        <v>306584</v>
      </c>
      <c r="C151" s="3">
        <v>250816</v>
      </c>
      <c r="D151" s="3">
        <f t="shared" si="23"/>
        <v>557400</v>
      </c>
      <c r="E151" s="4">
        <f t="shared" si="24"/>
        <v>3548.4259259259256</v>
      </c>
      <c r="F151" s="4">
        <f t="shared" si="25"/>
        <v>2902.9629629629626</v>
      </c>
      <c r="G151" s="4">
        <f t="shared" si="26"/>
        <v>6451.3888888888887</v>
      </c>
      <c r="H151" s="3">
        <v>184220</v>
      </c>
      <c r="I151" s="3">
        <v>365396</v>
      </c>
      <c r="J151" s="3">
        <v>8</v>
      </c>
      <c r="K151" s="4">
        <f t="shared" si="27"/>
        <v>549624</v>
      </c>
      <c r="L151" s="4">
        <f t="shared" si="30"/>
        <v>2132.1759259259256</v>
      </c>
      <c r="M151" s="4">
        <f t="shared" si="31"/>
        <v>4229.1203703703704</v>
      </c>
      <c r="N151" s="4">
        <f t="shared" si="32"/>
        <v>9.2592592592592587E-2</v>
      </c>
      <c r="O151" s="4">
        <f t="shared" si="33"/>
        <v>6361.3888888888878</v>
      </c>
      <c r="P151" s="5">
        <f t="shared" si="28"/>
        <v>1.395048439181916E-2</v>
      </c>
      <c r="Q151" s="7">
        <v>30.124705673033297</v>
      </c>
      <c r="R151" s="7">
        <v>22.749623250807321</v>
      </c>
      <c r="S151" s="3">
        <v>79019.999999997701</v>
      </c>
      <c r="T151" s="6">
        <f t="shared" si="29"/>
        <v>0.14176533907426928</v>
      </c>
    </row>
    <row r="152" spans="1:20" x14ac:dyDescent="0.35">
      <c r="A152" s="2">
        <v>45197</v>
      </c>
      <c r="B152" s="3">
        <v>303056</v>
      </c>
      <c r="C152" s="3">
        <v>251816</v>
      </c>
      <c r="D152" s="3">
        <f t="shared" si="23"/>
        <v>554872</v>
      </c>
      <c r="E152" s="4">
        <f t="shared" si="24"/>
        <v>3507.5925925925922</v>
      </c>
      <c r="F152" s="4">
        <f t="shared" si="25"/>
        <v>2914.537037037037</v>
      </c>
      <c r="G152" s="4">
        <f t="shared" si="26"/>
        <v>6422.1296296296296</v>
      </c>
      <c r="H152" s="3">
        <v>184912</v>
      </c>
      <c r="I152" s="3">
        <v>364848</v>
      </c>
      <c r="J152" s="3">
        <v>16</v>
      </c>
      <c r="K152" s="4">
        <f t="shared" si="27"/>
        <v>549776</v>
      </c>
      <c r="L152" s="4">
        <f t="shared" si="30"/>
        <v>2140.1851851851852</v>
      </c>
      <c r="M152" s="4">
        <f t="shared" si="31"/>
        <v>4222.7777777777774</v>
      </c>
      <c r="N152" s="4">
        <f t="shared" si="32"/>
        <v>0.18518518518518517</v>
      </c>
      <c r="O152" s="4">
        <f t="shared" si="33"/>
        <v>6363.1481481481478</v>
      </c>
      <c r="P152" s="5">
        <f t="shared" si="28"/>
        <v>9.184100116783691E-3</v>
      </c>
      <c r="Q152" s="7">
        <v>34.228829619732721</v>
      </c>
      <c r="R152" s="7">
        <v>23.567435372482301</v>
      </c>
      <c r="S152" s="3">
        <v>78600.000000000815</v>
      </c>
      <c r="T152" s="6">
        <f t="shared" si="29"/>
        <v>0.14165429144018948</v>
      </c>
    </row>
    <row r="153" spans="1:20" x14ac:dyDescent="0.35">
      <c r="A153" s="2">
        <v>45198</v>
      </c>
      <c r="B153" s="3">
        <v>307488</v>
      </c>
      <c r="C153" s="3">
        <v>249848</v>
      </c>
      <c r="D153" s="3">
        <f t="shared" si="23"/>
        <v>557336</v>
      </c>
      <c r="E153" s="4">
        <f t="shared" si="24"/>
        <v>3558.8888888888887</v>
      </c>
      <c r="F153" s="4">
        <f t="shared" si="25"/>
        <v>2891.7592592592591</v>
      </c>
      <c r="G153" s="4">
        <f t="shared" si="26"/>
        <v>6450.6481481481478</v>
      </c>
      <c r="H153" s="3">
        <v>183964</v>
      </c>
      <c r="I153" s="3">
        <v>365480</v>
      </c>
      <c r="J153" s="3">
        <v>13</v>
      </c>
      <c r="K153" s="4">
        <f t="shared" si="27"/>
        <v>549457</v>
      </c>
      <c r="L153" s="4">
        <f t="shared" si="30"/>
        <v>2129.212962962963</v>
      </c>
      <c r="M153" s="4">
        <f t="shared" si="31"/>
        <v>4230.0925925925922</v>
      </c>
      <c r="N153" s="4">
        <f t="shared" si="32"/>
        <v>0.15046296296296297</v>
      </c>
      <c r="O153" s="4">
        <f t="shared" si="33"/>
        <v>6359.4560185185173</v>
      </c>
      <c r="P153" s="5">
        <f t="shared" si="28"/>
        <v>1.4136894081846499E-2</v>
      </c>
      <c r="Q153" s="7">
        <v>26.939154557803732</v>
      </c>
      <c r="R153" s="7">
        <v>24.682112765010693</v>
      </c>
      <c r="S153" s="3">
        <v>78900.000000003274</v>
      </c>
      <c r="T153" s="6">
        <f t="shared" si="29"/>
        <v>0.14156630829518149</v>
      </c>
    </row>
    <row r="154" spans="1:20" x14ac:dyDescent="0.35">
      <c r="A154" s="2">
        <v>45199</v>
      </c>
      <c r="B154" s="3">
        <v>307136</v>
      </c>
      <c r="C154" s="3">
        <v>249600</v>
      </c>
      <c r="D154" s="3">
        <f t="shared" si="23"/>
        <v>556736</v>
      </c>
      <c r="E154" s="4">
        <f t="shared" si="24"/>
        <v>3554.8148148148148</v>
      </c>
      <c r="F154" s="4">
        <f t="shared" si="25"/>
        <v>2888.8888888888887</v>
      </c>
      <c r="G154" s="4">
        <f t="shared" si="26"/>
        <v>6443.7037037037035</v>
      </c>
      <c r="H154" s="3">
        <v>183972</v>
      </c>
      <c r="I154" s="3">
        <v>365936</v>
      </c>
      <c r="J154" s="3">
        <v>4</v>
      </c>
      <c r="K154" s="4">
        <f t="shared" si="27"/>
        <v>549912</v>
      </c>
      <c r="L154" s="4">
        <f t="shared" si="30"/>
        <v>2129.3055555555552</v>
      </c>
      <c r="M154" s="4">
        <f t="shared" si="31"/>
        <v>4235.3703703703704</v>
      </c>
      <c r="N154" s="4">
        <f t="shared" si="32"/>
        <v>4.6296296296296294E-2</v>
      </c>
      <c r="O154" s="4">
        <f t="shared" si="33"/>
        <v>6364.7222222222217</v>
      </c>
      <c r="P154" s="5">
        <f t="shared" si="28"/>
        <v>1.2257155994941947E-2</v>
      </c>
      <c r="Q154" s="7">
        <v>33.618115258450914</v>
      </c>
      <c r="R154" s="7">
        <v>23.285165679963214</v>
      </c>
      <c r="S154" s="3">
        <v>79019.999999997701</v>
      </c>
      <c r="T154" s="6">
        <f t="shared" si="29"/>
        <v>0.14193441774916243</v>
      </c>
    </row>
    <row r="155" spans="1:20" x14ac:dyDescent="0.35">
      <c r="A155" s="2">
        <v>45200</v>
      </c>
      <c r="B155" s="3">
        <v>303256</v>
      </c>
      <c r="C155" s="3">
        <v>250512</v>
      </c>
      <c r="D155" s="3">
        <f t="shared" si="23"/>
        <v>553768</v>
      </c>
      <c r="E155" s="4">
        <f t="shared" si="24"/>
        <v>3509.9074074074074</v>
      </c>
      <c r="F155" s="4">
        <f t="shared" si="25"/>
        <v>2899.4444444444443</v>
      </c>
      <c r="G155" s="4">
        <f t="shared" si="26"/>
        <v>6409.3518518518522</v>
      </c>
      <c r="H155" s="3">
        <v>184204</v>
      </c>
      <c r="I155" s="3">
        <v>365488</v>
      </c>
      <c r="J155" s="3">
        <v>7</v>
      </c>
      <c r="K155" s="4">
        <f t="shared" si="27"/>
        <v>549699</v>
      </c>
      <c r="L155" s="4">
        <f t="shared" si="30"/>
        <v>2131.9907407407404</v>
      </c>
      <c r="M155" s="4">
        <f t="shared" si="31"/>
        <v>4230.1851851851852</v>
      </c>
      <c r="N155" s="4">
        <f t="shared" si="32"/>
        <v>8.1018518518518517E-2</v>
      </c>
      <c r="O155" s="4">
        <f t="shared" si="33"/>
        <v>6362.2569444444434</v>
      </c>
      <c r="P155" s="5">
        <f t="shared" si="28"/>
        <v>7.3478424177633953E-3</v>
      </c>
      <c r="Q155" s="7">
        <v>31.341257104893764</v>
      </c>
      <c r="R155" s="7">
        <v>25.250050562690515</v>
      </c>
      <c r="S155" s="3">
        <v>77760.000000000218</v>
      </c>
      <c r="T155" s="6">
        <f t="shared" si="29"/>
        <v>0.14041981479608828</v>
      </c>
    </row>
    <row r="156" spans="1:20" x14ac:dyDescent="0.35">
      <c r="A156" s="8">
        <v>45201</v>
      </c>
      <c r="B156" s="3">
        <v>301064</v>
      </c>
      <c r="C156" s="3">
        <v>250264</v>
      </c>
      <c r="D156" s="3">
        <f t="shared" si="23"/>
        <v>551328</v>
      </c>
      <c r="E156" s="4">
        <f t="shared" si="24"/>
        <v>3484.537037037037</v>
      </c>
      <c r="F156" s="4">
        <f t="shared" si="25"/>
        <v>2896.5740740740739</v>
      </c>
      <c r="G156" s="4">
        <f t="shared" si="26"/>
        <v>6381.1111111111113</v>
      </c>
      <c r="H156" s="3">
        <v>183892</v>
      </c>
      <c r="I156" s="3">
        <v>365024</v>
      </c>
      <c r="J156" s="3">
        <v>9</v>
      </c>
      <c r="K156" s="4">
        <f t="shared" si="27"/>
        <v>548925</v>
      </c>
      <c r="L156" s="4">
        <f t="shared" si="30"/>
        <v>2128.3796296296296</v>
      </c>
      <c r="M156" s="4">
        <f t="shared" si="31"/>
        <v>4224.8148148148148</v>
      </c>
      <c r="N156" s="4">
        <f t="shared" si="32"/>
        <v>0.10416666666666666</v>
      </c>
      <c r="O156" s="4">
        <f t="shared" si="33"/>
        <v>6353.2986111111113</v>
      </c>
      <c r="P156" s="5">
        <f t="shared" si="28"/>
        <v>4.3585669510708691E-3</v>
      </c>
      <c r="Q156" s="7">
        <v>32.58617392763211</v>
      </c>
      <c r="R156" s="7">
        <v>23.513570868883857</v>
      </c>
      <c r="S156" s="3">
        <v>78299.99999999837</v>
      </c>
      <c r="T156" s="6">
        <f t="shared" si="29"/>
        <v>0.14202072087758716</v>
      </c>
    </row>
    <row r="157" spans="1:20" x14ac:dyDescent="0.35">
      <c r="A157" s="2">
        <v>45202</v>
      </c>
      <c r="B157" s="3">
        <v>306424</v>
      </c>
      <c r="C157" s="3">
        <v>250624</v>
      </c>
      <c r="D157" s="3">
        <f t="shared" si="23"/>
        <v>557048</v>
      </c>
      <c r="E157" s="4">
        <f t="shared" si="24"/>
        <v>3546.5740740740739</v>
      </c>
      <c r="F157" s="4">
        <f t="shared" si="25"/>
        <v>2900.7407407407404</v>
      </c>
      <c r="G157" s="4">
        <f t="shared" si="26"/>
        <v>6447.3148148148139</v>
      </c>
      <c r="H157" s="3">
        <v>183952</v>
      </c>
      <c r="I157" s="3">
        <v>365448</v>
      </c>
      <c r="J157" s="3">
        <v>13</v>
      </c>
      <c r="K157" s="4">
        <f t="shared" si="27"/>
        <v>549413</v>
      </c>
      <c r="L157" s="4">
        <f t="shared" si="30"/>
        <v>2129.0740740740739</v>
      </c>
      <c r="M157" s="4">
        <f t="shared" si="31"/>
        <v>4229.7222222222217</v>
      </c>
      <c r="N157" s="4">
        <f t="shared" si="32"/>
        <v>0.15046296296296297</v>
      </c>
      <c r="O157" s="4">
        <f t="shared" si="33"/>
        <v>6358.9467592592582</v>
      </c>
      <c r="P157" s="5">
        <f t="shared" si="28"/>
        <v>1.3706179718803406E-2</v>
      </c>
      <c r="Q157" s="7">
        <v>33.640554114600093</v>
      </c>
      <c r="R157" s="7">
        <v>24.898123680544586</v>
      </c>
      <c r="S157" s="3">
        <v>79860.000000002401</v>
      </c>
      <c r="T157" s="6">
        <f t="shared" si="29"/>
        <v>0.14336286998607373</v>
      </c>
    </row>
    <row r="158" spans="1:20" x14ac:dyDescent="0.35">
      <c r="A158" s="2">
        <v>45203</v>
      </c>
      <c r="B158" s="3">
        <v>304672</v>
      </c>
      <c r="C158" s="3">
        <v>248904</v>
      </c>
      <c r="D158" s="3">
        <f t="shared" si="23"/>
        <v>553576</v>
      </c>
      <c r="E158" s="4">
        <f t="shared" si="24"/>
        <v>3526.2962962962961</v>
      </c>
      <c r="F158" s="4">
        <f t="shared" si="25"/>
        <v>2880.833333333333</v>
      </c>
      <c r="G158" s="4">
        <f t="shared" si="26"/>
        <v>6407.1296296296296</v>
      </c>
      <c r="H158" s="3">
        <v>183864</v>
      </c>
      <c r="I158" s="3">
        <v>365344</v>
      </c>
      <c r="J158" s="3">
        <v>12</v>
      </c>
      <c r="K158" s="4">
        <f t="shared" si="27"/>
        <v>549220</v>
      </c>
      <c r="L158" s="4">
        <f t="shared" si="30"/>
        <v>2128.0555555555552</v>
      </c>
      <c r="M158" s="4">
        <f t="shared" si="31"/>
        <v>4228.5185185185182</v>
      </c>
      <c r="N158" s="4">
        <f t="shared" si="32"/>
        <v>0.13888888888888887</v>
      </c>
      <c r="O158" s="4">
        <f t="shared" si="33"/>
        <v>6356.7129629629617</v>
      </c>
      <c r="P158" s="5">
        <f t="shared" si="28"/>
        <v>7.8688382444325623E-3</v>
      </c>
      <c r="Q158" s="7">
        <v>34.205156761680662</v>
      </c>
      <c r="R158" s="7">
        <v>22.599986271081118</v>
      </c>
      <c r="S158" s="3">
        <v>80159.999999996668</v>
      </c>
      <c r="T158" s="6">
        <f t="shared" si="29"/>
        <v>0.14480396548982735</v>
      </c>
    </row>
    <row r="159" spans="1:20" x14ac:dyDescent="0.35">
      <c r="A159" s="2">
        <v>45204</v>
      </c>
      <c r="B159" s="3">
        <v>303984</v>
      </c>
      <c r="C159" s="3">
        <v>247896</v>
      </c>
      <c r="D159" s="3">
        <f t="shared" si="23"/>
        <v>551880</v>
      </c>
      <c r="E159" s="4">
        <f t="shared" si="24"/>
        <v>3518.333333333333</v>
      </c>
      <c r="F159" s="4">
        <f t="shared" si="25"/>
        <v>2869.1666666666665</v>
      </c>
      <c r="G159" s="4">
        <f t="shared" si="26"/>
        <v>6387.5</v>
      </c>
      <c r="H159" s="3">
        <v>183532</v>
      </c>
      <c r="I159" s="3">
        <v>365576</v>
      </c>
      <c r="J159" s="3">
        <v>17</v>
      </c>
      <c r="K159" s="4">
        <f t="shared" si="27"/>
        <v>549125</v>
      </c>
      <c r="L159" s="4">
        <f t="shared" si="30"/>
        <v>2124.212962962963</v>
      </c>
      <c r="M159" s="4">
        <f t="shared" si="31"/>
        <v>4231.2037037037035</v>
      </c>
      <c r="N159" s="4">
        <f t="shared" si="32"/>
        <v>0.19675925925925924</v>
      </c>
      <c r="O159" s="4">
        <f t="shared" si="33"/>
        <v>6355.6134259259252</v>
      </c>
      <c r="P159" s="5">
        <f t="shared" si="28"/>
        <v>4.9920272523012246E-3</v>
      </c>
      <c r="Q159" s="7">
        <v>34.573616884015387</v>
      </c>
      <c r="R159" s="7">
        <v>23.284898891063275</v>
      </c>
      <c r="S159" s="3">
        <v>79380.00000000147</v>
      </c>
      <c r="T159" s="6">
        <f t="shared" si="29"/>
        <v>0.14383561643835882</v>
      </c>
    </row>
    <row r="160" spans="1:20" x14ac:dyDescent="0.35">
      <c r="A160" s="2">
        <v>45205</v>
      </c>
      <c r="B160" s="3">
        <v>304368</v>
      </c>
      <c r="C160" s="3">
        <v>247200</v>
      </c>
      <c r="D160" s="3">
        <f t="shared" si="23"/>
        <v>551568</v>
      </c>
      <c r="E160" s="4">
        <f t="shared" si="24"/>
        <v>3522.7777777777774</v>
      </c>
      <c r="F160" s="4">
        <f t="shared" si="25"/>
        <v>2861.1111111111109</v>
      </c>
      <c r="G160" s="4">
        <f t="shared" si="26"/>
        <v>6383.8888888888887</v>
      </c>
      <c r="H160" s="3">
        <v>183560</v>
      </c>
      <c r="I160" s="3">
        <v>364032</v>
      </c>
      <c r="J160" s="3">
        <v>4</v>
      </c>
      <c r="K160" s="4">
        <f t="shared" si="27"/>
        <v>547596</v>
      </c>
      <c r="L160" s="4">
        <f t="shared" si="30"/>
        <v>2124.537037037037</v>
      </c>
      <c r="M160" s="4">
        <f t="shared" si="31"/>
        <v>4213.333333333333</v>
      </c>
      <c r="N160" s="4">
        <f t="shared" si="32"/>
        <v>4.6296296296296294E-2</v>
      </c>
      <c r="O160" s="4">
        <f t="shared" si="33"/>
        <v>6337.916666666667</v>
      </c>
      <c r="P160" s="5">
        <f t="shared" si="28"/>
        <v>7.2012879644939515E-3</v>
      </c>
      <c r="Q160" s="7">
        <v>33.467300166401643</v>
      </c>
      <c r="R160" s="7">
        <v>22.579627534592291</v>
      </c>
      <c r="S160" s="3">
        <v>79320.000000001528</v>
      </c>
      <c r="T160" s="6">
        <f t="shared" si="29"/>
        <v>0.14380819771995751</v>
      </c>
    </row>
    <row r="161" spans="1:20" x14ac:dyDescent="0.35">
      <c r="A161" s="2">
        <v>45206</v>
      </c>
      <c r="B161" s="3">
        <v>307200</v>
      </c>
      <c r="C161" s="3">
        <v>249096</v>
      </c>
      <c r="D161" s="3">
        <f t="shared" si="23"/>
        <v>556296</v>
      </c>
      <c r="E161" s="4">
        <f t="shared" si="24"/>
        <v>3555.5555555555552</v>
      </c>
      <c r="F161" s="4">
        <f t="shared" si="25"/>
        <v>2883.0555555555552</v>
      </c>
      <c r="G161" s="4">
        <f t="shared" si="26"/>
        <v>6438.6111111111104</v>
      </c>
      <c r="H161" s="3">
        <v>183584</v>
      </c>
      <c r="I161" s="3">
        <v>365176</v>
      </c>
      <c r="J161" s="3">
        <v>13</v>
      </c>
      <c r="K161" s="4">
        <f t="shared" si="27"/>
        <v>548773</v>
      </c>
      <c r="L161" s="4">
        <f t="shared" si="30"/>
        <v>2124.8148148148148</v>
      </c>
      <c r="M161" s="4">
        <f t="shared" si="31"/>
        <v>4226.5740740740739</v>
      </c>
      <c r="N161" s="4">
        <f t="shared" si="32"/>
        <v>0.15046296296296297</v>
      </c>
      <c r="O161" s="4">
        <f t="shared" si="33"/>
        <v>6351.5393518518513</v>
      </c>
      <c r="P161" s="5">
        <f t="shared" si="28"/>
        <v>1.3523376044408012E-2</v>
      </c>
      <c r="Q161" s="7">
        <v>36.137993558218668</v>
      </c>
      <c r="R161" s="7">
        <v>22.591246386815651</v>
      </c>
      <c r="S161" s="3">
        <v>78900.000000000553</v>
      </c>
      <c r="T161" s="6">
        <f t="shared" si="29"/>
        <v>0.14183096768626874</v>
      </c>
    </row>
    <row r="162" spans="1:20" x14ac:dyDescent="0.35">
      <c r="A162" s="2">
        <v>45207</v>
      </c>
      <c r="B162" s="3">
        <v>307640</v>
      </c>
      <c r="C162" s="3">
        <v>249208</v>
      </c>
      <c r="D162" s="3">
        <f t="shared" si="23"/>
        <v>556848</v>
      </c>
      <c r="E162" s="4">
        <f t="shared" si="24"/>
        <v>3560.6481481481478</v>
      </c>
      <c r="F162" s="4">
        <f t="shared" si="25"/>
        <v>2884.3518518518517</v>
      </c>
      <c r="G162" s="4">
        <f t="shared" si="26"/>
        <v>6445</v>
      </c>
      <c r="H162" s="3">
        <v>183888</v>
      </c>
      <c r="I162" s="3">
        <v>364720</v>
      </c>
      <c r="J162" s="3">
        <v>0</v>
      </c>
      <c r="K162" s="4">
        <f t="shared" si="27"/>
        <v>548608</v>
      </c>
      <c r="L162" s="4">
        <f t="shared" si="30"/>
        <v>2128.333333333333</v>
      </c>
      <c r="M162" s="4">
        <f t="shared" si="31"/>
        <v>4221.2962962962956</v>
      </c>
      <c r="N162" s="4">
        <f t="shared" si="32"/>
        <v>0</v>
      </c>
      <c r="O162" s="4">
        <f t="shared" si="33"/>
        <v>6349.6296296296287</v>
      </c>
      <c r="P162" s="5">
        <f t="shared" si="28"/>
        <v>1.4797574921702153E-2</v>
      </c>
      <c r="Q162" s="7">
        <v>47.437636630902198</v>
      </c>
      <c r="R162" s="7">
        <v>22.97549780191363</v>
      </c>
      <c r="S162" s="3">
        <v>78239.999999997061</v>
      </c>
      <c r="T162" s="6">
        <f t="shared" si="29"/>
        <v>0.14050512886819574</v>
      </c>
    </row>
    <row r="163" spans="1:20" x14ac:dyDescent="0.35">
      <c r="A163" s="2">
        <v>45208</v>
      </c>
      <c r="B163" s="3">
        <v>304736</v>
      </c>
      <c r="C163" s="3">
        <v>247080</v>
      </c>
      <c r="D163" s="3">
        <f t="shared" si="23"/>
        <v>551816</v>
      </c>
      <c r="E163" s="4">
        <f t="shared" si="24"/>
        <v>3527.037037037037</v>
      </c>
      <c r="F163" s="4">
        <f t="shared" si="25"/>
        <v>2859.7222222222222</v>
      </c>
      <c r="G163" s="4">
        <f t="shared" si="26"/>
        <v>6386.7592592592591</v>
      </c>
      <c r="H163" s="3">
        <v>184364</v>
      </c>
      <c r="I163" s="3">
        <v>364096</v>
      </c>
      <c r="J163" s="3">
        <v>0</v>
      </c>
      <c r="K163" s="4">
        <f t="shared" si="27"/>
        <v>548460</v>
      </c>
      <c r="L163" s="4">
        <f t="shared" si="30"/>
        <v>2133.8425925925926</v>
      </c>
      <c r="M163" s="4">
        <f t="shared" si="31"/>
        <v>4214.0740740740739</v>
      </c>
      <c r="N163" s="4">
        <f t="shared" si="32"/>
        <v>0</v>
      </c>
      <c r="O163" s="4">
        <f t="shared" si="33"/>
        <v>6347.9166666666661</v>
      </c>
      <c r="P163" s="5">
        <f t="shared" si="28"/>
        <v>6.0817373907244444E-3</v>
      </c>
      <c r="Q163" s="7">
        <v>46.486367865824711</v>
      </c>
      <c r="R163" s="7">
        <v>25.134193281818579</v>
      </c>
      <c r="S163" s="3">
        <v>78900.000000000553</v>
      </c>
      <c r="T163" s="6">
        <f t="shared" si="29"/>
        <v>0.14298244342317104</v>
      </c>
    </row>
    <row r="164" spans="1:20" x14ac:dyDescent="0.35">
      <c r="A164" s="2">
        <v>45209</v>
      </c>
      <c r="B164" s="3">
        <v>303000</v>
      </c>
      <c r="C164" s="3">
        <v>244792</v>
      </c>
      <c r="D164" s="3">
        <f t="shared" si="23"/>
        <v>547792</v>
      </c>
      <c r="E164" s="4">
        <f t="shared" si="24"/>
        <v>3506.9444444444443</v>
      </c>
      <c r="F164" s="4">
        <f t="shared" si="25"/>
        <v>2833.2407407407404</v>
      </c>
      <c r="G164" s="4">
        <f t="shared" si="26"/>
        <v>6340.1851851851843</v>
      </c>
      <c r="H164" s="3">
        <v>184328</v>
      </c>
      <c r="I164" s="3">
        <v>363496</v>
      </c>
      <c r="J164" s="3">
        <v>0</v>
      </c>
      <c r="K164" s="4">
        <f t="shared" si="27"/>
        <v>547824</v>
      </c>
      <c r="L164" s="4">
        <f t="shared" si="30"/>
        <v>2133.4259259259256</v>
      </c>
      <c r="M164" s="4">
        <f t="shared" si="31"/>
        <v>4207.1296296296296</v>
      </c>
      <c r="N164" s="4">
        <f t="shared" si="32"/>
        <v>0</v>
      </c>
      <c r="O164" s="4">
        <f t="shared" si="33"/>
        <v>6340.5555555555547</v>
      </c>
      <c r="P164" s="5">
        <f t="shared" si="28"/>
        <v>-5.8416333206764614E-5</v>
      </c>
      <c r="Q164" s="7">
        <v>37.586839364377191</v>
      </c>
      <c r="R164" s="7">
        <v>24.802114671262085</v>
      </c>
      <c r="S164" s="3">
        <v>79259.99999999885</v>
      </c>
      <c r="T164" s="6">
        <f t="shared" si="29"/>
        <v>0.144689955311503</v>
      </c>
    </row>
    <row r="165" spans="1:20" x14ac:dyDescent="0.35">
      <c r="A165" s="2">
        <v>45210</v>
      </c>
      <c r="B165" s="3">
        <v>306616</v>
      </c>
      <c r="C165" s="3">
        <v>247752</v>
      </c>
      <c r="D165" s="3">
        <f t="shared" si="23"/>
        <v>554368</v>
      </c>
      <c r="E165" s="4">
        <f t="shared" si="24"/>
        <v>3548.7962962962961</v>
      </c>
      <c r="F165" s="4">
        <f t="shared" si="25"/>
        <v>2867.5</v>
      </c>
      <c r="G165" s="4">
        <f t="shared" si="26"/>
        <v>6416.2962962962956</v>
      </c>
      <c r="H165" s="3">
        <v>183520</v>
      </c>
      <c r="I165" s="3">
        <v>362952</v>
      </c>
      <c r="J165" s="3">
        <v>0</v>
      </c>
      <c r="K165" s="4">
        <f t="shared" si="27"/>
        <v>546472</v>
      </c>
      <c r="L165" s="4">
        <f t="shared" si="30"/>
        <v>2124.0740740740739</v>
      </c>
      <c r="M165" s="4">
        <f t="shared" si="31"/>
        <v>4200.833333333333</v>
      </c>
      <c r="N165" s="4">
        <f t="shared" si="32"/>
        <v>0</v>
      </c>
      <c r="O165" s="4">
        <f t="shared" si="33"/>
        <v>6324.9074074074069</v>
      </c>
      <c r="P165" s="5">
        <f t="shared" si="28"/>
        <v>1.424324636342646E-2</v>
      </c>
      <c r="Q165" s="7">
        <v>29.523424038166137</v>
      </c>
      <c r="R165" s="7">
        <v>22.976163847841146</v>
      </c>
      <c r="S165" s="3">
        <v>82200.00000000163</v>
      </c>
      <c r="T165" s="6">
        <f t="shared" si="29"/>
        <v>0.14827695682290759</v>
      </c>
    </row>
    <row r="166" spans="1:20" x14ac:dyDescent="0.35">
      <c r="A166" s="2">
        <v>45211</v>
      </c>
      <c r="B166" s="3">
        <v>305192</v>
      </c>
      <c r="C166" s="3">
        <v>247192</v>
      </c>
      <c r="D166" s="3">
        <f t="shared" si="23"/>
        <v>552384</v>
      </c>
      <c r="E166" s="4">
        <f t="shared" si="24"/>
        <v>3532.3148148148148</v>
      </c>
      <c r="F166" s="4">
        <f t="shared" si="25"/>
        <v>2861.0185185185182</v>
      </c>
      <c r="G166" s="4">
        <f t="shared" si="26"/>
        <v>6393.333333333333</v>
      </c>
      <c r="H166" s="3">
        <v>183772</v>
      </c>
      <c r="I166" s="3">
        <v>364256</v>
      </c>
      <c r="J166" s="3">
        <v>9</v>
      </c>
      <c r="K166" s="4">
        <f t="shared" si="27"/>
        <v>548037</v>
      </c>
      <c r="L166" s="4">
        <f t="shared" si="30"/>
        <v>2126.9907407407404</v>
      </c>
      <c r="M166" s="4">
        <f t="shared" si="31"/>
        <v>4215.9259259259261</v>
      </c>
      <c r="N166" s="4">
        <f t="shared" si="32"/>
        <v>0.10416666666666666</v>
      </c>
      <c r="O166" s="4">
        <f t="shared" si="33"/>
        <v>6343.020833333333</v>
      </c>
      <c r="P166" s="5">
        <f t="shared" si="28"/>
        <v>7.8695255474452563E-3</v>
      </c>
      <c r="Q166" s="7">
        <v>47.338802354883562</v>
      </c>
      <c r="R166" s="7">
        <v>23.058687434827945</v>
      </c>
      <c r="S166" s="3">
        <v>79559.999999999942</v>
      </c>
      <c r="T166" s="6">
        <f t="shared" si="29"/>
        <v>0.14403023983315943</v>
      </c>
    </row>
    <row r="167" spans="1:20" x14ac:dyDescent="0.35">
      <c r="A167" s="2">
        <v>45212</v>
      </c>
      <c r="B167" s="3">
        <v>305760</v>
      </c>
      <c r="C167" s="3">
        <v>246984</v>
      </c>
      <c r="D167" s="3">
        <f t="shared" si="23"/>
        <v>552744</v>
      </c>
      <c r="E167" s="4">
        <f t="shared" si="24"/>
        <v>3538.8888888888887</v>
      </c>
      <c r="F167" s="4">
        <f t="shared" si="25"/>
        <v>2858.6111111111109</v>
      </c>
      <c r="G167" s="4">
        <f t="shared" si="26"/>
        <v>6397.5</v>
      </c>
      <c r="H167" s="3">
        <v>184336</v>
      </c>
      <c r="I167" s="3">
        <v>363728</v>
      </c>
      <c r="J167" s="3">
        <v>0</v>
      </c>
      <c r="K167" s="4">
        <f t="shared" si="27"/>
        <v>548064</v>
      </c>
      <c r="L167" s="4">
        <f t="shared" si="30"/>
        <v>2133.5185185185182</v>
      </c>
      <c r="M167" s="4">
        <f t="shared" si="31"/>
        <v>4209.8148148148148</v>
      </c>
      <c r="N167" s="4">
        <f t="shared" si="32"/>
        <v>0</v>
      </c>
      <c r="O167" s="4">
        <f t="shared" si="33"/>
        <v>6343.333333333333</v>
      </c>
      <c r="P167" s="5">
        <f t="shared" si="28"/>
        <v>8.4668490295688424E-3</v>
      </c>
      <c r="Q167" s="7">
        <v>42.389304516262847</v>
      </c>
      <c r="R167" s="7">
        <v>22.634004168294908</v>
      </c>
      <c r="S167" s="3">
        <v>79800.000000001091</v>
      </c>
      <c r="T167" s="6">
        <f t="shared" si="29"/>
        <v>0.14437063088880403</v>
      </c>
    </row>
    <row r="168" spans="1:20" x14ac:dyDescent="0.35">
      <c r="A168" s="2">
        <v>45213</v>
      </c>
      <c r="B168" s="3">
        <v>306832</v>
      </c>
      <c r="C168" s="3">
        <v>247984</v>
      </c>
      <c r="D168" s="3">
        <f t="shared" si="23"/>
        <v>554816</v>
      </c>
      <c r="E168" s="4">
        <f t="shared" si="24"/>
        <v>3551.2962962962961</v>
      </c>
      <c r="F168" s="4">
        <f t="shared" si="25"/>
        <v>2870.1851851851852</v>
      </c>
      <c r="G168" s="4">
        <f t="shared" si="26"/>
        <v>6421.4814814814818</v>
      </c>
      <c r="H168" s="3">
        <v>178336</v>
      </c>
      <c r="I168" s="3">
        <v>363656</v>
      </c>
      <c r="J168" s="3">
        <v>1</v>
      </c>
      <c r="K168" s="4">
        <f t="shared" si="27"/>
        <v>541993</v>
      </c>
      <c r="L168" s="4">
        <f t="shared" si="30"/>
        <v>2064.0740740740739</v>
      </c>
      <c r="M168" s="4">
        <f t="shared" si="31"/>
        <v>4208.9814814814808</v>
      </c>
      <c r="N168" s="4">
        <f t="shared" si="32"/>
        <v>1.1574074074074073E-2</v>
      </c>
      <c r="O168" s="4">
        <f t="shared" si="33"/>
        <v>6273.0671296296287</v>
      </c>
      <c r="P168" s="5">
        <f t="shared" si="28"/>
        <v>2.3112166916599376E-2</v>
      </c>
      <c r="Q168" s="7">
        <v>41.842126306307556</v>
      </c>
      <c r="R168" s="7">
        <v>22.243374379974622</v>
      </c>
      <c r="S168" s="3">
        <v>79319.999999998807</v>
      </c>
      <c r="T168" s="6">
        <f t="shared" si="29"/>
        <v>0.14296631676086993</v>
      </c>
    </row>
    <row r="169" spans="1:20" x14ac:dyDescent="0.35">
      <c r="A169" s="2">
        <v>45214</v>
      </c>
      <c r="B169" s="3">
        <v>307896</v>
      </c>
      <c r="C169" s="3">
        <v>249392</v>
      </c>
      <c r="D169" s="3">
        <f t="shared" si="23"/>
        <v>557288</v>
      </c>
      <c r="E169" s="4">
        <f t="shared" si="24"/>
        <v>3563.6111111111109</v>
      </c>
      <c r="F169" s="4">
        <f t="shared" si="25"/>
        <v>2886.4814814814813</v>
      </c>
      <c r="G169" s="4">
        <f t="shared" si="26"/>
        <v>6450.0925925925922</v>
      </c>
      <c r="H169" s="3">
        <v>184804</v>
      </c>
      <c r="I169" s="3">
        <v>366120</v>
      </c>
      <c r="J169" s="3">
        <v>0</v>
      </c>
      <c r="K169" s="4">
        <f t="shared" si="27"/>
        <v>550924</v>
      </c>
      <c r="L169" s="4">
        <f t="shared" si="30"/>
        <v>2138.9351851851852</v>
      </c>
      <c r="M169" s="4">
        <f t="shared" si="31"/>
        <v>4237.5</v>
      </c>
      <c r="N169" s="4">
        <f t="shared" si="32"/>
        <v>0</v>
      </c>
      <c r="O169" s="4">
        <f t="shared" si="33"/>
        <v>6376.4351851851852</v>
      </c>
      <c r="P169" s="5">
        <f t="shared" si="28"/>
        <v>1.1419589153184709E-2</v>
      </c>
      <c r="Q169" s="7">
        <v>41.205438741646226</v>
      </c>
      <c r="R169" s="7">
        <v>23.973170066464736</v>
      </c>
      <c r="S169" s="3">
        <v>79259.99999999885</v>
      </c>
      <c r="T169" s="6">
        <f t="shared" si="29"/>
        <v>0.14222448715924055</v>
      </c>
    </row>
    <row r="170" spans="1:20" x14ac:dyDescent="0.35">
      <c r="A170" s="2">
        <v>45215</v>
      </c>
      <c r="B170" s="3">
        <v>304259</v>
      </c>
      <c r="C170" s="3">
        <v>245808</v>
      </c>
      <c r="D170" s="3">
        <f t="shared" si="23"/>
        <v>550067</v>
      </c>
      <c r="E170" s="4">
        <f t="shared" si="24"/>
        <v>3521.5162037037035</v>
      </c>
      <c r="F170" s="4">
        <f t="shared" si="25"/>
        <v>2845</v>
      </c>
      <c r="G170" s="4">
        <f t="shared" si="26"/>
        <v>6366.5162037037035</v>
      </c>
      <c r="H170" s="3">
        <v>184796</v>
      </c>
      <c r="I170" s="3">
        <v>364760</v>
      </c>
      <c r="J170" s="3">
        <v>0</v>
      </c>
      <c r="K170" s="4">
        <f t="shared" si="27"/>
        <v>549556</v>
      </c>
      <c r="L170" s="4">
        <f t="shared" si="30"/>
        <v>2138.8425925925926</v>
      </c>
      <c r="M170" s="4">
        <f t="shared" si="31"/>
        <v>4221.7592592592591</v>
      </c>
      <c r="N170" s="4">
        <f t="shared" si="32"/>
        <v>0</v>
      </c>
      <c r="O170" s="4">
        <f t="shared" si="33"/>
        <v>6360.6018518518522</v>
      </c>
      <c r="P170" s="5">
        <f t="shared" si="28"/>
        <v>9.289777427113424E-4</v>
      </c>
      <c r="Q170" s="7">
        <v>37.494790454301842</v>
      </c>
      <c r="R170" s="7">
        <v>22.538327149238185</v>
      </c>
      <c r="S170" s="3">
        <v>78120.000000001251</v>
      </c>
      <c r="T170" s="6">
        <f t="shared" si="29"/>
        <v>0.14201906313231161</v>
      </c>
    </row>
    <row r="171" spans="1:20" x14ac:dyDescent="0.35">
      <c r="A171" s="2">
        <v>45216</v>
      </c>
      <c r="B171" s="3">
        <v>305293</v>
      </c>
      <c r="C171" s="3">
        <v>246368</v>
      </c>
      <c r="D171" s="3">
        <f t="shared" si="23"/>
        <v>551661</v>
      </c>
      <c r="E171" s="4">
        <f t="shared" si="24"/>
        <v>3533.4837962962961</v>
      </c>
      <c r="F171" s="4">
        <f t="shared" si="25"/>
        <v>2851.4814814814813</v>
      </c>
      <c r="G171" s="4">
        <f t="shared" si="26"/>
        <v>6384.9652777777774</v>
      </c>
      <c r="H171" s="3">
        <v>183920</v>
      </c>
      <c r="I171" s="3">
        <v>362992</v>
      </c>
      <c r="J171" s="3">
        <v>4</v>
      </c>
      <c r="K171" s="4">
        <f t="shared" si="27"/>
        <v>546916</v>
      </c>
      <c r="L171" s="4">
        <f t="shared" si="30"/>
        <v>2128.7037037037035</v>
      </c>
      <c r="M171" s="4">
        <f t="shared" si="31"/>
        <v>4201.2962962962956</v>
      </c>
      <c r="N171" s="4">
        <f t="shared" si="32"/>
        <v>4.6296296296296294E-2</v>
      </c>
      <c r="O171" s="4">
        <f t="shared" si="33"/>
        <v>6330.0462962962956</v>
      </c>
      <c r="P171" s="5">
        <f t="shared" si="28"/>
        <v>8.6012968109037986E-3</v>
      </c>
      <c r="Q171" s="7">
        <v>39.239320702307005</v>
      </c>
      <c r="R171" s="7">
        <v>22.267982370805239</v>
      </c>
      <c r="S171" s="3">
        <v>80639.999999997599</v>
      </c>
      <c r="T171" s="6">
        <f t="shared" si="29"/>
        <v>0.1461767280993175</v>
      </c>
    </row>
    <row r="172" spans="1:20" x14ac:dyDescent="0.35">
      <c r="A172" s="2">
        <v>45217</v>
      </c>
      <c r="B172" s="3">
        <v>305680</v>
      </c>
      <c r="C172" s="3">
        <v>246424</v>
      </c>
      <c r="D172" s="3">
        <f t="shared" si="23"/>
        <v>552104</v>
      </c>
      <c r="E172" s="4">
        <f t="shared" si="24"/>
        <v>3537.9629629629626</v>
      </c>
      <c r="F172" s="4">
        <f t="shared" si="25"/>
        <v>2852.1296296296296</v>
      </c>
      <c r="G172" s="4">
        <f t="shared" si="26"/>
        <v>6390.0925925925922</v>
      </c>
      <c r="H172" s="3">
        <v>183972</v>
      </c>
      <c r="I172" s="3">
        <v>363480</v>
      </c>
      <c r="J172" s="3">
        <v>0</v>
      </c>
      <c r="K172" s="4">
        <f t="shared" si="27"/>
        <v>547452</v>
      </c>
      <c r="L172" s="4">
        <f t="shared" si="30"/>
        <v>2129.3055555555552</v>
      </c>
      <c r="M172" s="4">
        <f t="shared" si="31"/>
        <v>4206.9444444444443</v>
      </c>
      <c r="N172" s="4">
        <f t="shared" si="32"/>
        <v>0</v>
      </c>
      <c r="O172" s="4">
        <f t="shared" si="33"/>
        <v>6336.25</v>
      </c>
      <c r="P172" s="5">
        <f t="shared" si="28"/>
        <v>8.425948734296437E-3</v>
      </c>
      <c r="Q172" s="7">
        <v>47.19022845797528</v>
      </c>
      <c r="R172" s="7">
        <v>22.045031370901135</v>
      </c>
      <c r="S172" s="3">
        <v>79680.000000002561</v>
      </c>
      <c r="T172" s="6">
        <f t="shared" si="29"/>
        <v>0.14432063524264008</v>
      </c>
    </row>
    <row r="173" spans="1:20" x14ac:dyDescent="0.35">
      <c r="A173" s="2">
        <v>45218</v>
      </c>
      <c r="B173" s="3">
        <v>302840</v>
      </c>
      <c r="C173" s="3">
        <v>244792</v>
      </c>
      <c r="D173" s="3">
        <f t="shared" si="23"/>
        <v>547632</v>
      </c>
      <c r="E173" s="4">
        <f t="shared" si="24"/>
        <v>3505.0925925925922</v>
      </c>
      <c r="F173" s="4">
        <f t="shared" si="25"/>
        <v>2833.2407407407404</v>
      </c>
      <c r="G173" s="4">
        <f t="shared" si="26"/>
        <v>6338.3333333333321</v>
      </c>
      <c r="H173" s="3">
        <v>183104</v>
      </c>
      <c r="I173" s="3">
        <v>361760</v>
      </c>
      <c r="J173" s="3">
        <v>12</v>
      </c>
      <c r="K173" s="4">
        <f t="shared" si="27"/>
        <v>544876</v>
      </c>
      <c r="L173" s="4">
        <f t="shared" si="30"/>
        <v>2119.2592592592591</v>
      </c>
      <c r="M173" s="4">
        <f t="shared" si="31"/>
        <v>4187.0370370370365</v>
      </c>
      <c r="N173" s="4">
        <f t="shared" si="32"/>
        <v>0.13888888888888887</v>
      </c>
      <c r="O173" s="4">
        <f t="shared" si="33"/>
        <v>6306.4351851851843</v>
      </c>
      <c r="P173" s="5">
        <f t="shared" si="28"/>
        <v>5.0325766207964476E-3</v>
      </c>
      <c r="Q173" s="7">
        <v>48.962088086781804</v>
      </c>
      <c r="R173" s="7">
        <v>24.395871680252434</v>
      </c>
      <c r="S173" s="3">
        <v>79379.999999998749</v>
      </c>
      <c r="T173" s="6">
        <f t="shared" si="29"/>
        <v>0.14495135419405503</v>
      </c>
    </row>
    <row r="174" spans="1:20" x14ac:dyDescent="0.35">
      <c r="A174" s="2">
        <v>45219</v>
      </c>
      <c r="B174" s="3">
        <v>304539</v>
      </c>
      <c r="C174" s="3">
        <v>246288</v>
      </c>
      <c r="D174" s="3">
        <f t="shared" si="23"/>
        <v>550827</v>
      </c>
      <c r="E174" s="4">
        <f t="shared" si="24"/>
        <v>3524.7569444444443</v>
      </c>
      <c r="F174" s="4">
        <f t="shared" si="25"/>
        <v>2850.5555555555552</v>
      </c>
      <c r="G174" s="4">
        <f t="shared" si="26"/>
        <v>6375.3125</v>
      </c>
      <c r="H174" s="3">
        <v>182524</v>
      </c>
      <c r="I174" s="3">
        <v>362256</v>
      </c>
      <c r="J174" s="3">
        <v>0</v>
      </c>
      <c r="K174" s="4">
        <f t="shared" si="27"/>
        <v>544780</v>
      </c>
      <c r="L174" s="4">
        <f t="shared" si="30"/>
        <v>2112.5462962962961</v>
      </c>
      <c r="M174" s="4">
        <f t="shared" si="31"/>
        <v>4192.7777777777774</v>
      </c>
      <c r="N174" s="4">
        <f t="shared" si="32"/>
        <v>0</v>
      </c>
      <c r="O174" s="4">
        <f t="shared" si="33"/>
        <v>6305.324074074073</v>
      </c>
      <c r="P174" s="5">
        <f t="shared" si="28"/>
        <v>1.0978038476690504E-2</v>
      </c>
      <c r="Q174" s="7">
        <v>48.249321264748325</v>
      </c>
      <c r="R174" s="7">
        <v>21.582275378657908</v>
      </c>
      <c r="S174" s="3">
        <v>78780.000000003376</v>
      </c>
      <c r="T174" s="6">
        <f t="shared" si="29"/>
        <v>0.14302131159148584</v>
      </c>
    </row>
    <row r="175" spans="1:20" x14ac:dyDescent="0.35">
      <c r="A175" s="2">
        <v>45220</v>
      </c>
      <c r="B175" s="3">
        <v>302669</v>
      </c>
      <c r="C175" s="3">
        <v>245952</v>
      </c>
      <c r="D175" s="3">
        <f t="shared" si="23"/>
        <v>548621</v>
      </c>
      <c r="E175" s="4">
        <f t="shared" si="24"/>
        <v>3503.1134259259256</v>
      </c>
      <c r="F175" s="4">
        <f t="shared" si="25"/>
        <v>2846.6666666666665</v>
      </c>
      <c r="G175" s="4">
        <f t="shared" si="26"/>
        <v>6349.7800925925922</v>
      </c>
      <c r="H175" s="3">
        <v>181912</v>
      </c>
      <c r="I175" s="3">
        <v>361936</v>
      </c>
      <c r="J175" s="3">
        <v>0</v>
      </c>
      <c r="K175" s="4">
        <f t="shared" si="27"/>
        <v>543848</v>
      </c>
      <c r="L175" s="4">
        <f t="shared" si="30"/>
        <v>2105.462962962963</v>
      </c>
      <c r="M175" s="4">
        <f t="shared" si="31"/>
        <v>4189.0740740740739</v>
      </c>
      <c r="N175" s="4">
        <f t="shared" si="32"/>
        <v>0</v>
      </c>
      <c r="O175" s="4">
        <f t="shared" si="33"/>
        <v>6294.5370370370365</v>
      </c>
      <c r="P175" s="5">
        <f t="shared" si="28"/>
        <v>8.6999950785697222E-3</v>
      </c>
      <c r="Q175" s="7">
        <v>43.979844144464323</v>
      </c>
      <c r="R175" s="7">
        <v>22.391359426635145</v>
      </c>
      <c r="S175" s="3">
        <v>78599.999999996726</v>
      </c>
      <c r="T175" s="6">
        <f t="shared" si="29"/>
        <v>0.14326830361943257</v>
      </c>
    </row>
    <row r="176" spans="1:20" x14ac:dyDescent="0.35">
      <c r="A176" s="2">
        <v>45221</v>
      </c>
      <c r="B176" s="3">
        <v>309793</v>
      </c>
      <c r="C176" s="3">
        <v>249472</v>
      </c>
      <c r="D176" s="3">
        <f t="shared" si="23"/>
        <v>559265</v>
      </c>
      <c r="E176" s="4">
        <f t="shared" si="24"/>
        <v>3585.5671296296296</v>
      </c>
      <c r="F176" s="4">
        <f t="shared" si="25"/>
        <v>2887.4074074074074</v>
      </c>
      <c r="G176" s="4">
        <f t="shared" si="26"/>
        <v>6472.9745370370365</v>
      </c>
      <c r="H176" s="3">
        <v>184064</v>
      </c>
      <c r="I176" s="3">
        <v>363008</v>
      </c>
      <c r="J176" s="3">
        <v>0</v>
      </c>
      <c r="K176" s="4">
        <f t="shared" si="27"/>
        <v>547072</v>
      </c>
      <c r="L176" s="4">
        <f t="shared" si="30"/>
        <v>2130.3703703703704</v>
      </c>
      <c r="M176" s="4">
        <f t="shared" si="31"/>
        <v>4201.4814814814808</v>
      </c>
      <c r="N176" s="4">
        <f t="shared" si="32"/>
        <v>0</v>
      </c>
      <c r="O176" s="4">
        <f t="shared" si="33"/>
        <v>6331.8518518518513</v>
      </c>
      <c r="P176" s="5">
        <f t="shared" si="28"/>
        <v>2.1801829186521595E-2</v>
      </c>
      <c r="Q176" s="7">
        <v>43.576921243961507</v>
      </c>
      <c r="R176" s="7">
        <v>22.471315029547711</v>
      </c>
      <c r="S176" s="3">
        <v>78900.000000001906</v>
      </c>
      <c r="T176" s="6">
        <f t="shared" si="29"/>
        <v>0.14107802204679698</v>
      </c>
    </row>
    <row r="177" spans="1:20" x14ac:dyDescent="0.35">
      <c r="A177" s="2">
        <v>45222</v>
      </c>
      <c r="B177" s="3">
        <v>306103</v>
      </c>
      <c r="C177" s="3">
        <v>245664</v>
      </c>
      <c r="D177" s="3">
        <f t="shared" si="23"/>
        <v>551767</v>
      </c>
      <c r="E177" s="4">
        <f t="shared" si="24"/>
        <v>3542.8587962962961</v>
      </c>
      <c r="F177" s="4">
        <f t="shared" si="25"/>
        <v>2843.333333333333</v>
      </c>
      <c r="G177" s="4">
        <f t="shared" si="26"/>
        <v>6386.1921296296296</v>
      </c>
      <c r="H177" s="3">
        <v>184256</v>
      </c>
      <c r="I177" s="3">
        <v>361992</v>
      </c>
      <c r="J177" s="3">
        <v>0</v>
      </c>
      <c r="K177" s="4">
        <f t="shared" si="27"/>
        <v>546248</v>
      </c>
      <c r="L177" s="4">
        <f t="shared" si="30"/>
        <v>2132.5925925925926</v>
      </c>
      <c r="M177" s="4">
        <f t="shared" si="31"/>
        <v>4189.7222222222217</v>
      </c>
      <c r="N177" s="4">
        <f t="shared" si="32"/>
        <v>0</v>
      </c>
      <c r="O177" s="4">
        <f t="shared" si="33"/>
        <v>6322.3148148148139</v>
      </c>
      <c r="P177" s="5">
        <f t="shared" si="28"/>
        <v>1.0002410437739117E-2</v>
      </c>
      <c r="Q177" s="7">
        <v>40.528627479256834</v>
      </c>
      <c r="R177" s="7">
        <v>24.110448794509278</v>
      </c>
      <c r="S177" s="3">
        <v>79379.999999997381</v>
      </c>
      <c r="T177" s="6">
        <f t="shared" si="29"/>
        <v>0.14386507348209912</v>
      </c>
    </row>
    <row r="178" spans="1:20" x14ac:dyDescent="0.35">
      <c r="A178" s="2">
        <v>45223</v>
      </c>
      <c r="B178" s="3">
        <v>302827</v>
      </c>
      <c r="C178" s="3">
        <v>243952</v>
      </c>
      <c r="D178" s="3">
        <f t="shared" si="23"/>
        <v>546779</v>
      </c>
      <c r="E178" s="4">
        <f t="shared" si="24"/>
        <v>3504.9421296296296</v>
      </c>
      <c r="F178" s="4">
        <f t="shared" si="25"/>
        <v>2823.5185185185182</v>
      </c>
      <c r="G178" s="4">
        <f t="shared" si="26"/>
        <v>6328.4606481481478</v>
      </c>
      <c r="H178" s="3">
        <v>184320</v>
      </c>
      <c r="I178" s="3">
        <v>362712</v>
      </c>
      <c r="J178" s="3">
        <v>0</v>
      </c>
      <c r="K178" s="4">
        <f t="shared" si="27"/>
        <v>547032</v>
      </c>
      <c r="L178" s="4">
        <f t="shared" si="30"/>
        <v>2133.333333333333</v>
      </c>
      <c r="M178" s="4">
        <f t="shared" si="31"/>
        <v>4198.0555555555557</v>
      </c>
      <c r="N178" s="4">
        <f t="shared" si="32"/>
        <v>0</v>
      </c>
      <c r="O178" s="4">
        <f t="shared" si="33"/>
        <v>6331.3888888888887</v>
      </c>
      <c r="P178" s="5">
        <f t="shared" si="28"/>
        <v>-4.6270979682833466E-4</v>
      </c>
      <c r="Q178" s="7">
        <v>35.475811090763713</v>
      </c>
      <c r="R178" s="7">
        <v>24.951598360580782</v>
      </c>
      <c r="S178" s="3">
        <v>79080.000000001746</v>
      </c>
      <c r="T178" s="6">
        <f t="shared" si="29"/>
        <v>0.14462881712721548</v>
      </c>
    </row>
    <row r="179" spans="1:20" x14ac:dyDescent="0.35">
      <c r="A179" s="2">
        <v>45224</v>
      </c>
      <c r="B179" s="3">
        <v>307293</v>
      </c>
      <c r="C179" s="3">
        <v>247936</v>
      </c>
      <c r="D179" s="3">
        <f t="shared" si="23"/>
        <v>555229</v>
      </c>
      <c r="E179" s="4">
        <f t="shared" si="24"/>
        <v>3556.6319444444443</v>
      </c>
      <c r="F179" s="4">
        <f t="shared" si="25"/>
        <v>2869.6296296296296</v>
      </c>
      <c r="G179" s="4">
        <f t="shared" si="26"/>
        <v>6426.2615740740739</v>
      </c>
      <c r="H179" s="3">
        <v>183876</v>
      </c>
      <c r="I179" s="3">
        <v>362040</v>
      </c>
      <c r="J179" s="3">
        <v>0</v>
      </c>
      <c r="K179" s="4">
        <f t="shared" si="27"/>
        <v>545916</v>
      </c>
      <c r="L179" s="4">
        <f t="shared" si="30"/>
        <v>2128.1944444444443</v>
      </c>
      <c r="M179" s="4">
        <f t="shared" si="31"/>
        <v>4190.2777777777774</v>
      </c>
      <c r="N179" s="4">
        <f t="shared" si="32"/>
        <v>0</v>
      </c>
      <c r="O179" s="4">
        <f t="shared" si="33"/>
        <v>6318.4722222222217</v>
      </c>
      <c r="P179" s="5">
        <f t="shared" si="28"/>
        <v>1.6773259321829371E-2</v>
      </c>
      <c r="Q179" s="7">
        <v>35.646482504895715</v>
      </c>
      <c r="R179" s="7">
        <v>21.411165483070949</v>
      </c>
      <c r="S179" s="3">
        <v>79380.000000000116</v>
      </c>
      <c r="T179" s="6">
        <f t="shared" si="29"/>
        <v>0.1429680366119207</v>
      </c>
    </row>
    <row r="180" spans="1:20" x14ac:dyDescent="0.35">
      <c r="A180" s="2">
        <v>45225</v>
      </c>
      <c r="B180" s="3">
        <v>308154</v>
      </c>
      <c r="C180" s="3">
        <v>248032</v>
      </c>
      <c r="D180" s="3">
        <f t="shared" si="23"/>
        <v>556186</v>
      </c>
      <c r="E180" s="4">
        <f t="shared" si="24"/>
        <v>3566.5972222222222</v>
      </c>
      <c r="F180" s="4">
        <f t="shared" si="25"/>
        <v>2870.7407407407404</v>
      </c>
      <c r="G180" s="4">
        <f t="shared" si="26"/>
        <v>6437.3379629629626</v>
      </c>
      <c r="H180" s="3">
        <v>185396</v>
      </c>
      <c r="I180" s="3">
        <v>363648</v>
      </c>
      <c r="J180" s="3">
        <v>0</v>
      </c>
      <c r="K180" s="4">
        <f t="shared" si="27"/>
        <v>549044</v>
      </c>
      <c r="L180" s="4">
        <f t="shared" si="30"/>
        <v>2145.787037037037</v>
      </c>
      <c r="M180" s="4">
        <f t="shared" si="31"/>
        <v>4208.8888888888887</v>
      </c>
      <c r="N180" s="4">
        <f t="shared" si="32"/>
        <v>0</v>
      </c>
      <c r="O180" s="4">
        <f t="shared" si="33"/>
        <v>6354.6759259259252</v>
      </c>
      <c r="P180" s="5">
        <f t="shared" si="28"/>
        <v>1.2841028001423983E-2</v>
      </c>
      <c r="Q180" s="7">
        <v>30.279951979914681</v>
      </c>
      <c r="R180" s="7">
        <v>24.936711819427313</v>
      </c>
      <c r="S180" s="3">
        <v>79799.99999999837</v>
      </c>
      <c r="T180" s="6">
        <f t="shared" si="29"/>
        <v>0.14347718209375707</v>
      </c>
    </row>
    <row r="181" spans="1:20" x14ac:dyDescent="0.35">
      <c r="A181" s="2">
        <v>45226</v>
      </c>
      <c r="B181" s="3">
        <v>307634</v>
      </c>
      <c r="C181" s="3">
        <v>248512</v>
      </c>
      <c r="D181" s="3">
        <f t="shared" si="23"/>
        <v>556146</v>
      </c>
      <c r="E181" s="4">
        <f t="shared" si="24"/>
        <v>3560.5787037037035</v>
      </c>
      <c r="F181" s="4">
        <f t="shared" si="25"/>
        <v>2876.2962962962961</v>
      </c>
      <c r="G181" s="4">
        <f t="shared" si="26"/>
        <v>6436.875</v>
      </c>
      <c r="H181" s="3">
        <v>185148</v>
      </c>
      <c r="I181" s="3">
        <v>365056</v>
      </c>
      <c r="J181" s="3">
        <v>0</v>
      </c>
      <c r="K181" s="4">
        <f t="shared" si="27"/>
        <v>550204</v>
      </c>
      <c r="L181" s="4">
        <f t="shared" si="30"/>
        <v>2142.9166666666665</v>
      </c>
      <c r="M181" s="4">
        <f t="shared" si="31"/>
        <v>4225.1851851851852</v>
      </c>
      <c r="N181" s="4">
        <f t="shared" si="32"/>
        <v>0</v>
      </c>
      <c r="O181" s="4">
        <f t="shared" si="33"/>
        <v>6368.1018518518522</v>
      </c>
      <c r="P181" s="5">
        <f t="shared" si="28"/>
        <v>1.0684244784642881E-2</v>
      </c>
      <c r="Q181" s="7">
        <v>32.465202222747088</v>
      </c>
      <c r="R181" s="7">
        <v>23.208078454218857</v>
      </c>
      <c r="S181" s="3">
        <v>79920.00000000099</v>
      </c>
      <c r="T181" s="6">
        <f t="shared" si="29"/>
        <v>0.14370327216234763</v>
      </c>
    </row>
    <row r="182" spans="1:20" x14ac:dyDescent="0.35">
      <c r="A182" s="2">
        <v>45227</v>
      </c>
      <c r="B182" s="3">
        <v>305984</v>
      </c>
      <c r="C182" s="3">
        <v>246984</v>
      </c>
      <c r="D182" s="3">
        <f t="shared" si="23"/>
        <v>552968</v>
      </c>
      <c r="E182" s="4">
        <f t="shared" si="24"/>
        <v>3541.4814814814813</v>
      </c>
      <c r="F182" s="4">
        <f t="shared" si="25"/>
        <v>2858.6111111111109</v>
      </c>
      <c r="G182" s="4">
        <f t="shared" si="26"/>
        <v>6400.0925925925922</v>
      </c>
      <c r="H182" s="3">
        <v>184548</v>
      </c>
      <c r="I182" s="3">
        <v>365024</v>
      </c>
      <c r="J182" s="3">
        <v>0</v>
      </c>
      <c r="K182" s="4">
        <f t="shared" si="27"/>
        <v>549572</v>
      </c>
      <c r="L182" s="4">
        <f t="shared" si="30"/>
        <v>2135.9722222222222</v>
      </c>
      <c r="M182" s="4">
        <f t="shared" si="31"/>
        <v>4224.8148148148148</v>
      </c>
      <c r="N182" s="4">
        <f t="shared" si="32"/>
        <v>0</v>
      </c>
      <c r="O182" s="4">
        <f t="shared" si="33"/>
        <v>6360.7870370370365</v>
      </c>
      <c r="P182" s="5">
        <f t="shared" si="28"/>
        <v>6.1414042042215828E-3</v>
      </c>
      <c r="Q182" s="7">
        <v>30.901218156661674</v>
      </c>
      <c r="R182" s="7">
        <v>24.774706673803909</v>
      </c>
      <c r="S182" s="3">
        <v>79500.000000001368</v>
      </c>
      <c r="T182" s="6">
        <f t="shared" si="29"/>
        <v>0.14376962138858193</v>
      </c>
    </row>
    <row r="183" spans="1:20" x14ac:dyDescent="0.35">
      <c r="A183" s="2">
        <v>45228</v>
      </c>
      <c r="B183" s="3">
        <v>305029</v>
      </c>
      <c r="C183" s="3">
        <v>246880</v>
      </c>
      <c r="D183" s="3">
        <f t="shared" si="23"/>
        <v>551909</v>
      </c>
      <c r="E183" s="4">
        <f t="shared" si="24"/>
        <v>3530.4282407407404</v>
      </c>
      <c r="F183" s="4">
        <f t="shared" si="25"/>
        <v>2857.4074074074074</v>
      </c>
      <c r="G183" s="4">
        <f t="shared" si="26"/>
        <v>6387.8356481481478</v>
      </c>
      <c r="H183" s="3">
        <v>186000</v>
      </c>
      <c r="I183" s="3">
        <v>363960</v>
      </c>
      <c r="J183" s="3">
        <v>0</v>
      </c>
      <c r="K183" s="4">
        <f t="shared" si="27"/>
        <v>549960</v>
      </c>
      <c r="L183" s="4">
        <f t="shared" si="30"/>
        <v>2152.7777777777778</v>
      </c>
      <c r="M183" s="4">
        <f t="shared" si="31"/>
        <v>4212.5</v>
      </c>
      <c r="N183" s="4">
        <f t="shared" si="32"/>
        <v>0</v>
      </c>
      <c r="O183" s="4">
        <f t="shared" si="33"/>
        <v>6365.2777777777774</v>
      </c>
      <c r="P183" s="5">
        <f t="shared" si="28"/>
        <v>3.5313792672342723E-3</v>
      </c>
      <c r="Q183" s="7">
        <v>32.025915938441699</v>
      </c>
      <c r="R183" s="7">
        <v>25.43767179009583</v>
      </c>
      <c r="S183" s="3">
        <v>79559.999999999942</v>
      </c>
      <c r="T183" s="6">
        <f t="shared" si="29"/>
        <v>0.1441541993335857</v>
      </c>
    </row>
    <row r="184" spans="1:20" x14ac:dyDescent="0.35">
      <c r="A184" s="2">
        <v>45229</v>
      </c>
      <c r="B184" s="3">
        <v>305939</v>
      </c>
      <c r="C184" s="3">
        <v>247024</v>
      </c>
      <c r="D184" s="3">
        <f t="shared" si="23"/>
        <v>552963</v>
      </c>
      <c r="E184" s="4">
        <f t="shared" si="24"/>
        <v>3540.9606481481478</v>
      </c>
      <c r="F184" s="4">
        <f t="shared" si="25"/>
        <v>2859.0740740740739</v>
      </c>
      <c r="G184" s="4">
        <f t="shared" si="26"/>
        <v>6400.0347222222217</v>
      </c>
      <c r="H184" s="3">
        <v>185160</v>
      </c>
      <c r="I184" s="3">
        <v>362552</v>
      </c>
      <c r="J184" s="3">
        <v>0</v>
      </c>
      <c r="K184" s="4">
        <f t="shared" si="27"/>
        <v>547712</v>
      </c>
      <c r="L184" s="4">
        <f t="shared" si="30"/>
        <v>2143.0555555555552</v>
      </c>
      <c r="M184" s="4">
        <f t="shared" si="31"/>
        <v>4196.2037037037035</v>
      </c>
      <c r="N184" s="4">
        <f t="shared" si="32"/>
        <v>0</v>
      </c>
      <c r="O184" s="4">
        <f t="shared" si="33"/>
        <v>6339.2592592592591</v>
      </c>
      <c r="P184" s="5">
        <f t="shared" si="28"/>
        <v>9.4961145682441687E-3</v>
      </c>
      <c r="Q184" s="7">
        <v>34.010460132261471</v>
      </c>
      <c r="R184" s="7">
        <v>21.806034038443801</v>
      </c>
      <c r="S184" s="3">
        <v>80220.000000002066</v>
      </c>
      <c r="T184" s="6">
        <f t="shared" si="29"/>
        <v>0.14507299765084114</v>
      </c>
    </row>
    <row r="185" spans="1:20" x14ac:dyDescent="0.35">
      <c r="A185" s="2">
        <v>45230</v>
      </c>
      <c r="B185" s="3">
        <v>306225</v>
      </c>
      <c r="C185" s="3">
        <v>247152</v>
      </c>
      <c r="D185" s="3">
        <f t="shared" si="23"/>
        <v>553377</v>
      </c>
      <c r="E185" s="4">
        <f t="shared" si="24"/>
        <v>3544.270833333333</v>
      </c>
      <c r="F185" s="4">
        <f t="shared" si="25"/>
        <v>2860.5555555555552</v>
      </c>
      <c r="G185" s="4">
        <f t="shared" si="26"/>
        <v>6404.8263888888887</v>
      </c>
      <c r="H185" s="3">
        <v>184696</v>
      </c>
      <c r="I185" s="3">
        <v>362552</v>
      </c>
      <c r="J185" s="3">
        <v>0</v>
      </c>
      <c r="K185" s="4">
        <f t="shared" si="27"/>
        <v>547248</v>
      </c>
      <c r="L185" s="4">
        <f t="shared" si="30"/>
        <v>2137.6851851851852</v>
      </c>
      <c r="M185" s="4">
        <f t="shared" si="31"/>
        <v>4196.2037037037035</v>
      </c>
      <c r="N185" s="4">
        <f t="shared" si="32"/>
        <v>0</v>
      </c>
      <c r="O185" s="4">
        <f t="shared" si="33"/>
        <v>6333.8888888888887</v>
      </c>
      <c r="P185" s="5">
        <f t="shared" si="28"/>
        <v>1.1075631983259152E-2</v>
      </c>
      <c r="Q185" s="7">
        <v>33.031678536610158</v>
      </c>
      <c r="R185" s="7">
        <v>21.994318520646864</v>
      </c>
      <c r="S185" s="3">
        <v>79499.999999998632</v>
      </c>
      <c r="T185" s="6">
        <f t="shared" si="29"/>
        <v>0.14366336150580641</v>
      </c>
    </row>
    <row r="186" spans="1:20" x14ac:dyDescent="0.35">
      <c r="A186" s="2">
        <v>45231</v>
      </c>
      <c r="B186" s="3">
        <v>305922</v>
      </c>
      <c r="C186" s="3">
        <v>245400</v>
      </c>
      <c r="D186" s="3">
        <f t="shared" si="23"/>
        <v>551322</v>
      </c>
      <c r="E186" s="4">
        <f t="shared" si="24"/>
        <v>3540.7638888888887</v>
      </c>
      <c r="F186" s="4">
        <f t="shared" si="25"/>
        <v>2840.2777777777774</v>
      </c>
      <c r="G186" s="4">
        <f t="shared" si="26"/>
        <v>6381.0416666666661</v>
      </c>
      <c r="H186" s="3">
        <v>185452</v>
      </c>
      <c r="I186" s="3">
        <v>361688</v>
      </c>
      <c r="J186" s="3">
        <v>0</v>
      </c>
      <c r="K186" s="4">
        <f t="shared" si="27"/>
        <v>547140</v>
      </c>
      <c r="L186" s="4">
        <f t="shared" si="30"/>
        <v>2146.4351851851852</v>
      </c>
      <c r="M186" s="4">
        <f t="shared" si="31"/>
        <v>4186.2037037037035</v>
      </c>
      <c r="N186" s="4">
        <f t="shared" si="32"/>
        <v>0</v>
      </c>
      <c r="O186" s="4">
        <f t="shared" si="33"/>
        <v>6332.6388888888887</v>
      </c>
      <c r="P186" s="5">
        <f t="shared" si="28"/>
        <v>7.5854038112028906E-3</v>
      </c>
      <c r="Q186" s="7">
        <v>33.008187592731652</v>
      </c>
      <c r="R186" s="7">
        <v>23.513826765483692</v>
      </c>
      <c r="S186" s="3">
        <v>78959.999999997759</v>
      </c>
      <c r="T186" s="6">
        <f t="shared" si="29"/>
        <v>0.14321938903217676</v>
      </c>
    </row>
    <row r="187" spans="1:20" x14ac:dyDescent="0.35">
      <c r="A187" s="2">
        <v>45232</v>
      </c>
      <c r="B187" s="3">
        <v>307019</v>
      </c>
      <c r="C187" s="3">
        <v>245152</v>
      </c>
      <c r="D187" s="3">
        <f t="shared" si="23"/>
        <v>552171</v>
      </c>
      <c r="E187" s="4">
        <f t="shared" si="24"/>
        <v>3553.4606481481478</v>
      </c>
      <c r="F187" s="4">
        <f t="shared" si="25"/>
        <v>2837.4074074074074</v>
      </c>
      <c r="G187" s="4">
        <f t="shared" si="26"/>
        <v>6390.8680555555547</v>
      </c>
      <c r="H187" s="3">
        <v>184072</v>
      </c>
      <c r="I187" s="3">
        <v>361184</v>
      </c>
      <c r="J187" s="3">
        <v>0</v>
      </c>
      <c r="K187" s="4">
        <f t="shared" si="27"/>
        <v>545256</v>
      </c>
      <c r="L187" s="4">
        <f t="shared" si="30"/>
        <v>2130.462962962963</v>
      </c>
      <c r="M187" s="4">
        <f t="shared" si="31"/>
        <v>4180.3703703703704</v>
      </c>
      <c r="N187" s="4">
        <f t="shared" si="32"/>
        <v>0</v>
      </c>
      <c r="O187" s="4">
        <f t="shared" si="33"/>
        <v>6310.8333333333339</v>
      </c>
      <c r="P187" s="5">
        <f t="shared" si="28"/>
        <v>1.2523294414230375E-2</v>
      </c>
      <c r="Q187" s="7">
        <v>34.343334876303665</v>
      </c>
      <c r="R187" s="7">
        <v>21.324698327148656</v>
      </c>
      <c r="S187" s="3">
        <v>79739.999999999782</v>
      </c>
      <c r="T187" s="6">
        <f t="shared" si="29"/>
        <v>0.14441178547949782</v>
      </c>
    </row>
    <row r="188" spans="1:20" x14ac:dyDescent="0.35">
      <c r="A188" s="2">
        <v>45233</v>
      </c>
      <c r="B188" s="3">
        <v>307854</v>
      </c>
      <c r="C188" s="3">
        <v>246587</v>
      </c>
      <c r="D188" s="3">
        <f t="shared" si="23"/>
        <v>554441</v>
      </c>
      <c r="E188" s="4">
        <f t="shared" si="24"/>
        <v>3563.1249999999995</v>
      </c>
      <c r="F188" s="4">
        <f t="shared" si="25"/>
        <v>2854.0162037037035</v>
      </c>
      <c r="G188" s="4">
        <f t="shared" si="26"/>
        <v>6417.1412037037026</v>
      </c>
      <c r="H188" s="3">
        <v>183720</v>
      </c>
      <c r="I188" s="3">
        <v>362096</v>
      </c>
      <c r="J188" s="3">
        <v>0</v>
      </c>
      <c r="K188" s="4">
        <f t="shared" si="27"/>
        <v>545816</v>
      </c>
      <c r="L188" s="4">
        <f t="shared" si="30"/>
        <v>2126.3888888888887</v>
      </c>
      <c r="M188" s="4">
        <f t="shared" si="31"/>
        <v>4190.9259259259261</v>
      </c>
      <c r="N188" s="4">
        <f t="shared" si="32"/>
        <v>0</v>
      </c>
      <c r="O188" s="4">
        <f t="shared" si="33"/>
        <v>6317.3148148148148</v>
      </c>
      <c r="P188" s="5">
        <f t="shared" si="28"/>
        <v>1.5556208866227425E-2</v>
      </c>
      <c r="Q188" s="7">
        <v>32.640615376121289</v>
      </c>
      <c r="R188" s="7">
        <v>21.747904646301411</v>
      </c>
      <c r="S188" s="3">
        <v>78660.000000000757</v>
      </c>
      <c r="T188" s="6">
        <f t="shared" si="29"/>
        <v>0.14187262485999549</v>
      </c>
    </row>
    <row r="189" spans="1:20" x14ac:dyDescent="0.35">
      <c r="A189" s="2">
        <v>45234</v>
      </c>
      <c r="B189" s="3">
        <v>307535</v>
      </c>
      <c r="C189" s="3">
        <v>247046</v>
      </c>
      <c r="D189" s="3">
        <f t="shared" si="23"/>
        <v>554581</v>
      </c>
      <c r="E189" s="4">
        <f t="shared" si="24"/>
        <v>3559.43287037037</v>
      </c>
      <c r="F189" s="4">
        <f t="shared" si="25"/>
        <v>2859.3287037037035</v>
      </c>
      <c r="G189" s="4">
        <f t="shared" si="26"/>
        <v>6418.761574074073</v>
      </c>
      <c r="H189" s="3">
        <v>184116</v>
      </c>
      <c r="I189" s="3">
        <v>364032</v>
      </c>
      <c r="J189" s="3">
        <v>0</v>
      </c>
      <c r="K189" s="4">
        <f t="shared" si="27"/>
        <v>548148</v>
      </c>
      <c r="L189" s="4">
        <f t="shared" si="30"/>
        <v>2130.9722222222222</v>
      </c>
      <c r="M189" s="4">
        <f t="shared" si="31"/>
        <v>4213.333333333333</v>
      </c>
      <c r="N189" s="4">
        <f t="shared" si="32"/>
        <v>0</v>
      </c>
      <c r="O189" s="4">
        <f t="shared" si="33"/>
        <v>6344.3055555555547</v>
      </c>
      <c r="P189" s="5">
        <f t="shared" si="28"/>
        <v>1.1599748278430022E-2</v>
      </c>
      <c r="Q189" s="7">
        <v>38.910460985205702</v>
      </c>
      <c r="R189" s="7">
        <v>23.069416370196599</v>
      </c>
      <c r="S189" s="3">
        <v>79320.000000002896</v>
      </c>
      <c r="T189" s="6">
        <f t="shared" si="29"/>
        <v>0.14302689778409808</v>
      </c>
    </row>
    <row r="190" spans="1:20" x14ac:dyDescent="0.35">
      <c r="A190" s="2">
        <v>45235</v>
      </c>
      <c r="B190" s="3">
        <v>310117</v>
      </c>
      <c r="C190" s="3">
        <v>247722</v>
      </c>
      <c r="D190" s="3">
        <f t="shared" si="23"/>
        <v>557839</v>
      </c>
      <c r="E190" s="4">
        <f t="shared" si="24"/>
        <v>3589.3171296296296</v>
      </c>
      <c r="F190" s="4">
        <f t="shared" si="25"/>
        <v>2867.1527777777774</v>
      </c>
      <c r="G190" s="4">
        <f t="shared" si="26"/>
        <v>6456.4699074074069</v>
      </c>
      <c r="H190" s="3">
        <v>184532</v>
      </c>
      <c r="I190" s="3">
        <v>364536</v>
      </c>
      <c r="J190" s="3">
        <v>0</v>
      </c>
      <c r="K190" s="4">
        <f t="shared" si="27"/>
        <v>549068</v>
      </c>
      <c r="L190" s="4">
        <f t="shared" si="30"/>
        <v>2135.787037037037</v>
      </c>
      <c r="M190" s="4">
        <f t="shared" si="31"/>
        <v>4219.1666666666661</v>
      </c>
      <c r="N190" s="4">
        <f t="shared" si="32"/>
        <v>0</v>
      </c>
      <c r="O190" s="4">
        <f t="shared" si="33"/>
        <v>6354.9537037037026</v>
      </c>
      <c r="P190" s="5">
        <f t="shared" si="28"/>
        <v>1.5723174607727319E-2</v>
      </c>
      <c r="Q190" s="7">
        <v>32.245770859061366</v>
      </c>
      <c r="R190" s="7">
        <v>26.486513133717793</v>
      </c>
      <c r="S190" s="3">
        <v>79379.999999997381</v>
      </c>
      <c r="T190" s="6">
        <f t="shared" si="29"/>
        <v>0.142299122148142</v>
      </c>
    </row>
    <row r="191" spans="1:20" x14ac:dyDescent="0.35">
      <c r="A191" s="2">
        <v>45236</v>
      </c>
      <c r="B191" s="3">
        <v>303680</v>
      </c>
      <c r="C191" s="3">
        <v>242640</v>
      </c>
      <c r="D191" s="3">
        <f t="shared" si="23"/>
        <v>546320</v>
      </c>
      <c r="E191" s="4">
        <f t="shared" si="24"/>
        <v>3514.8148148148148</v>
      </c>
      <c r="F191" s="4">
        <f t="shared" si="25"/>
        <v>2808.333333333333</v>
      </c>
      <c r="G191" s="4">
        <f t="shared" si="26"/>
        <v>6323.1481481481478</v>
      </c>
      <c r="H191" s="3">
        <v>183960</v>
      </c>
      <c r="I191" s="3">
        <v>363616</v>
      </c>
      <c r="J191" s="3">
        <v>0</v>
      </c>
      <c r="K191" s="4">
        <f t="shared" si="27"/>
        <v>547576</v>
      </c>
      <c r="L191" s="4">
        <f t="shared" si="30"/>
        <v>2129.1666666666665</v>
      </c>
      <c r="M191" s="4">
        <f t="shared" si="31"/>
        <v>4208.5185185185182</v>
      </c>
      <c r="N191" s="4">
        <f t="shared" si="32"/>
        <v>0</v>
      </c>
      <c r="O191" s="4">
        <f t="shared" si="33"/>
        <v>6337.6851851851843</v>
      </c>
      <c r="P191" s="5">
        <f t="shared" si="28"/>
        <v>-2.2990188900278226E-3</v>
      </c>
      <c r="Q191" s="7">
        <v>32.071210588290825</v>
      </c>
      <c r="R191" s="7">
        <v>30.464453067799091</v>
      </c>
      <c r="S191" s="3">
        <v>79680.000000005297</v>
      </c>
      <c r="T191" s="6">
        <f t="shared" si="29"/>
        <v>0.14584858690878111</v>
      </c>
    </row>
    <row r="192" spans="1:20" x14ac:dyDescent="0.35">
      <c r="A192" s="2">
        <v>45237</v>
      </c>
      <c r="B192" s="3">
        <v>308795</v>
      </c>
      <c r="C192" s="3">
        <v>245768</v>
      </c>
      <c r="D192" s="3">
        <f t="shared" si="23"/>
        <v>554563</v>
      </c>
      <c r="E192" s="4">
        <f t="shared" si="24"/>
        <v>3574.0162037037035</v>
      </c>
      <c r="F192" s="4">
        <f t="shared" si="25"/>
        <v>2844.537037037037</v>
      </c>
      <c r="G192" s="4">
        <f t="shared" si="26"/>
        <v>6418.5532407407409</v>
      </c>
      <c r="H192" s="3">
        <v>183804</v>
      </c>
      <c r="I192" s="3">
        <v>361432</v>
      </c>
      <c r="J192" s="3">
        <v>0</v>
      </c>
      <c r="K192" s="4">
        <f t="shared" si="27"/>
        <v>545236</v>
      </c>
      <c r="L192" s="4">
        <f t="shared" si="30"/>
        <v>2127.3611111111109</v>
      </c>
      <c r="M192" s="4">
        <f t="shared" si="31"/>
        <v>4183.2407407407409</v>
      </c>
      <c r="N192" s="4">
        <f t="shared" si="32"/>
        <v>0</v>
      </c>
      <c r="O192" s="4">
        <f t="shared" si="33"/>
        <v>6310.6018518518522</v>
      </c>
      <c r="P192" s="5">
        <f t="shared" si="28"/>
        <v>1.6818648196868527E-2</v>
      </c>
      <c r="Q192" s="7">
        <v>35.03823418522839</v>
      </c>
      <c r="R192" s="7">
        <v>21.845200635455303</v>
      </c>
      <c r="S192" s="3">
        <v>79739.999999997061</v>
      </c>
      <c r="T192" s="6">
        <f t="shared" si="29"/>
        <v>0.14378889323665131</v>
      </c>
    </row>
    <row r="193" spans="1:20" x14ac:dyDescent="0.35">
      <c r="A193" s="2">
        <v>45238</v>
      </c>
      <c r="B193" s="3">
        <v>311171</v>
      </c>
      <c r="C193" s="3">
        <v>248728</v>
      </c>
      <c r="D193" s="3">
        <f t="shared" si="23"/>
        <v>559899</v>
      </c>
      <c r="E193" s="4">
        <f t="shared" si="24"/>
        <v>3601.5162037037035</v>
      </c>
      <c r="F193" s="4">
        <f t="shared" si="25"/>
        <v>2878.7962962962961</v>
      </c>
      <c r="G193" s="4">
        <f t="shared" si="26"/>
        <v>6480.3125</v>
      </c>
      <c r="H193" s="3">
        <v>182864</v>
      </c>
      <c r="I193" s="3">
        <v>363248</v>
      </c>
      <c r="J193" s="3">
        <v>0</v>
      </c>
      <c r="K193" s="4">
        <f t="shared" si="27"/>
        <v>546112</v>
      </c>
      <c r="L193" s="4">
        <f t="shared" si="30"/>
        <v>2116.4814814814813</v>
      </c>
      <c r="M193" s="4">
        <f t="shared" si="31"/>
        <v>4204.2592592592591</v>
      </c>
      <c r="N193" s="4">
        <f t="shared" si="32"/>
        <v>0</v>
      </c>
      <c r="O193" s="4">
        <f t="shared" si="33"/>
        <v>6320.7407407407409</v>
      </c>
      <c r="P193" s="5">
        <f t="shared" si="28"/>
        <v>2.4624083986576149E-2</v>
      </c>
      <c r="Q193" s="7">
        <v>30.223948758526831</v>
      </c>
      <c r="R193" s="7">
        <v>24.164697561524488</v>
      </c>
      <c r="S193" s="3">
        <v>79739.999999997061</v>
      </c>
      <c r="T193" s="6">
        <f t="shared" si="29"/>
        <v>0.14241854334441936</v>
      </c>
    </row>
    <row r="194" spans="1:20" x14ac:dyDescent="0.35">
      <c r="A194" s="2">
        <v>45239</v>
      </c>
      <c r="B194" s="3">
        <v>308873</v>
      </c>
      <c r="C194" s="3">
        <v>245192</v>
      </c>
      <c r="D194" s="3">
        <f t="shared" si="23"/>
        <v>554065</v>
      </c>
      <c r="E194" s="4">
        <f t="shared" si="24"/>
        <v>3574.9189814814813</v>
      </c>
      <c r="F194" s="4">
        <f t="shared" si="25"/>
        <v>2837.87037037037</v>
      </c>
      <c r="G194" s="4">
        <f t="shared" si="26"/>
        <v>6412.7893518518513</v>
      </c>
      <c r="H194" s="3">
        <v>181964</v>
      </c>
      <c r="I194" s="3">
        <v>364800</v>
      </c>
      <c r="J194" s="3">
        <v>0</v>
      </c>
      <c r="K194" s="4">
        <f t="shared" si="27"/>
        <v>546764</v>
      </c>
      <c r="L194" s="4">
        <f t="shared" si="30"/>
        <v>2106.0648148148148</v>
      </c>
      <c r="M194" s="4">
        <f t="shared" si="31"/>
        <v>4222.2222222222217</v>
      </c>
      <c r="N194" s="4">
        <f t="shared" si="32"/>
        <v>0</v>
      </c>
      <c r="O194" s="4">
        <f t="shared" si="33"/>
        <v>6328.2870370370365</v>
      </c>
      <c r="P194" s="5">
        <f t="shared" si="28"/>
        <v>1.3177154305000317E-2</v>
      </c>
      <c r="Q194" s="7">
        <v>31.639712827201333</v>
      </c>
      <c r="R194" s="7">
        <v>22.886556631442158</v>
      </c>
      <c r="S194" s="3">
        <v>79139.999999997599</v>
      </c>
      <c r="T194" s="6">
        <f t="shared" si="29"/>
        <v>0.14283522691380543</v>
      </c>
    </row>
    <row r="195" spans="1:20" x14ac:dyDescent="0.35">
      <c r="A195" s="2">
        <v>45240</v>
      </c>
      <c r="B195" s="3">
        <v>306735</v>
      </c>
      <c r="C195" s="3">
        <v>247448</v>
      </c>
      <c r="D195" s="3">
        <f t="shared" si="23"/>
        <v>554183</v>
      </c>
      <c r="E195" s="4">
        <f t="shared" si="24"/>
        <v>3550.1736111111109</v>
      </c>
      <c r="F195" s="4">
        <f t="shared" si="25"/>
        <v>2863.9814814814813</v>
      </c>
      <c r="G195" s="4">
        <f t="shared" si="26"/>
        <v>6414.1550925925922</v>
      </c>
      <c r="H195" s="3">
        <v>181688</v>
      </c>
      <c r="I195" s="3">
        <v>365064</v>
      </c>
      <c r="J195" s="3">
        <v>0</v>
      </c>
      <c r="K195" s="4">
        <f t="shared" si="27"/>
        <v>546752</v>
      </c>
      <c r="L195" s="4">
        <f t="shared" si="30"/>
        <v>2102.8703703703704</v>
      </c>
      <c r="M195" s="4">
        <f t="shared" si="31"/>
        <v>4225.2777777777774</v>
      </c>
      <c r="N195" s="4">
        <f t="shared" si="32"/>
        <v>0</v>
      </c>
      <c r="O195" s="4">
        <f t="shared" si="33"/>
        <v>6328.1481481481478</v>
      </c>
      <c r="P195" s="5">
        <f t="shared" si="28"/>
        <v>1.3408928097758321E-2</v>
      </c>
      <c r="Q195" s="7">
        <v>28.479920534648109</v>
      </c>
      <c r="R195" s="7">
        <v>22.473081996380259</v>
      </c>
      <c r="S195" s="3">
        <v>79380.000000002838</v>
      </c>
      <c r="T195" s="6">
        <f t="shared" si="29"/>
        <v>0.14323788351501732</v>
      </c>
    </row>
    <row r="196" spans="1:20" x14ac:dyDescent="0.35">
      <c r="A196" s="2">
        <v>45241</v>
      </c>
      <c r="B196" s="3">
        <v>303972</v>
      </c>
      <c r="C196" s="3">
        <v>248528</v>
      </c>
      <c r="D196" s="3">
        <f t="shared" ref="D196:D246" si="34">SUM(B196:C196)</f>
        <v>552500</v>
      </c>
      <c r="E196" s="4">
        <f t="shared" ref="E196:E246" si="35">B196/86.4</f>
        <v>3518.1944444444443</v>
      </c>
      <c r="F196" s="4">
        <f t="shared" ref="F196:F246" si="36">C196/86.4</f>
        <v>2876.4814814814813</v>
      </c>
      <c r="G196" s="4">
        <f t="shared" ref="G196:G246" si="37">SUM(E196:F196)</f>
        <v>6394.6759259259252</v>
      </c>
      <c r="H196" s="3">
        <v>179061</v>
      </c>
      <c r="I196" s="3">
        <v>366104</v>
      </c>
      <c r="J196" s="3">
        <v>0</v>
      </c>
      <c r="K196" s="4">
        <f t="shared" ref="K196:K246" si="38">SUM(H196:J196)</f>
        <v>545165</v>
      </c>
      <c r="L196" s="4">
        <f t="shared" si="30"/>
        <v>2072.4652777777778</v>
      </c>
      <c r="M196" s="4">
        <f t="shared" si="31"/>
        <v>4237.3148148148148</v>
      </c>
      <c r="N196" s="4">
        <f t="shared" si="32"/>
        <v>0</v>
      </c>
      <c r="O196" s="4">
        <f t="shared" si="33"/>
        <v>6309.7800925925931</v>
      </c>
      <c r="P196" s="5">
        <f t="shared" ref="P196:P246" si="39">(D196-K196)/D196</f>
        <v>1.3276018099547511E-2</v>
      </c>
      <c r="Q196" s="7">
        <v>30.977037238697136</v>
      </c>
      <c r="R196" s="7">
        <v>24.590769230769229</v>
      </c>
      <c r="S196" s="3">
        <v>77639.999999998967</v>
      </c>
      <c r="T196" s="6">
        <f t="shared" ref="T196:T246" si="40">S196/D196</f>
        <v>0.14052488687782619</v>
      </c>
    </row>
    <row r="197" spans="1:20" x14ac:dyDescent="0.35">
      <c r="A197" s="2">
        <v>45242</v>
      </c>
      <c r="B197" s="3">
        <v>300170</v>
      </c>
      <c r="C197" s="3">
        <v>250592</v>
      </c>
      <c r="D197" s="3">
        <f t="shared" si="34"/>
        <v>550762</v>
      </c>
      <c r="E197" s="4">
        <f t="shared" si="35"/>
        <v>3474.1898148148148</v>
      </c>
      <c r="F197" s="4">
        <f t="shared" si="36"/>
        <v>2900.37037037037</v>
      </c>
      <c r="G197" s="4">
        <f t="shared" si="37"/>
        <v>6374.5601851851843</v>
      </c>
      <c r="H197" s="3">
        <v>181875</v>
      </c>
      <c r="I197" s="3">
        <v>364864</v>
      </c>
      <c r="J197" s="3">
        <v>0</v>
      </c>
      <c r="K197" s="4">
        <f t="shared" si="38"/>
        <v>546739</v>
      </c>
      <c r="L197" s="4">
        <f t="shared" ref="L197:L246" si="41">H197/86.4</f>
        <v>2105.0347222222222</v>
      </c>
      <c r="M197" s="4">
        <f t="shared" ref="M197:M246" si="42">I197/86.4</f>
        <v>4222.9629629629626</v>
      </c>
      <c r="N197" s="4">
        <f t="shared" ref="N197:N246" si="43">J197/86.4</f>
        <v>0</v>
      </c>
      <c r="O197" s="4">
        <f t="shared" ref="O197:O246" si="44">SUM(L197:N197)</f>
        <v>6327.9976851851843</v>
      </c>
      <c r="P197" s="5">
        <f t="shared" si="39"/>
        <v>7.3044255050275803E-3</v>
      </c>
      <c r="Q197" s="7">
        <v>32.602209002637707</v>
      </c>
      <c r="R197" s="7">
        <v>28.779763309741774</v>
      </c>
      <c r="S197" s="3">
        <v>77939.999999997322</v>
      </c>
      <c r="T197" s="6">
        <f t="shared" si="40"/>
        <v>0.14151303103699478</v>
      </c>
    </row>
    <row r="198" spans="1:20" x14ac:dyDescent="0.35">
      <c r="A198" s="2">
        <v>45243</v>
      </c>
      <c r="B198" s="3">
        <v>303549</v>
      </c>
      <c r="C198" s="3">
        <v>249541</v>
      </c>
      <c r="D198" s="3">
        <f t="shared" si="34"/>
        <v>553090</v>
      </c>
      <c r="E198" s="4">
        <f t="shared" si="35"/>
        <v>3513.2986111111109</v>
      </c>
      <c r="F198" s="4">
        <f t="shared" si="36"/>
        <v>2888.2060185185182</v>
      </c>
      <c r="G198" s="4">
        <f t="shared" si="37"/>
        <v>6401.5046296296296</v>
      </c>
      <c r="H198" s="3">
        <v>182456</v>
      </c>
      <c r="I198" s="3">
        <v>364648</v>
      </c>
      <c r="J198" s="3">
        <v>0</v>
      </c>
      <c r="K198" s="4">
        <f t="shared" si="38"/>
        <v>547104</v>
      </c>
      <c r="L198" s="4">
        <f t="shared" si="41"/>
        <v>2111.7592592592591</v>
      </c>
      <c r="M198" s="4">
        <f t="shared" si="42"/>
        <v>4220.4629629629626</v>
      </c>
      <c r="N198" s="4">
        <f t="shared" si="43"/>
        <v>0</v>
      </c>
      <c r="O198" s="4">
        <f t="shared" si="44"/>
        <v>6332.2222222222217</v>
      </c>
      <c r="P198" s="5">
        <f t="shared" si="39"/>
        <v>1.0822831727205337E-2</v>
      </c>
      <c r="Q198" s="7">
        <v>27.698992138681714</v>
      </c>
      <c r="R198" s="7">
        <v>22.210435914588945</v>
      </c>
      <c r="S198" s="3">
        <v>78840.000000003332</v>
      </c>
      <c r="T198" s="6">
        <f t="shared" si="40"/>
        <v>0.14254461299246657</v>
      </c>
    </row>
    <row r="199" spans="1:20" x14ac:dyDescent="0.35">
      <c r="A199" s="2">
        <v>45244</v>
      </c>
      <c r="B199" s="3">
        <v>302890</v>
      </c>
      <c r="C199" s="3">
        <v>247108</v>
      </c>
      <c r="D199" s="3">
        <f t="shared" si="34"/>
        <v>549998</v>
      </c>
      <c r="E199" s="4">
        <f t="shared" si="35"/>
        <v>3505.6712962962961</v>
      </c>
      <c r="F199" s="4">
        <f t="shared" si="36"/>
        <v>2860.0462962962961</v>
      </c>
      <c r="G199" s="4">
        <f t="shared" si="37"/>
        <v>6365.7175925925922</v>
      </c>
      <c r="H199" s="3">
        <v>182400</v>
      </c>
      <c r="I199" s="3">
        <v>364448</v>
      </c>
      <c r="J199" s="3">
        <v>0</v>
      </c>
      <c r="K199" s="4">
        <f t="shared" si="38"/>
        <v>546848</v>
      </c>
      <c r="L199" s="4">
        <f t="shared" si="41"/>
        <v>2111.1111111111109</v>
      </c>
      <c r="M199" s="4">
        <f t="shared" si="42"/>
        <v>4218.1481481481478</v>
      </c>
      <c r="N199" s="4">
        <f t="shared" si="43"/>
        <v>0</v>
      </c>
      <c r="O199" s="4">
        <f t="shared" si="44"/>
        <v>6329.2592592592591</v>
      </c>
      <c r="P199" s="5">
        <f t="shared" si="39"/>
        <v>5.7272935537947415E-3</v>
      </c>
      <c r="Q199" s="7">
        <v>28.864523293984028</v>
      </c>
      <c r="R199" s="7">
        <v>23.26164822417536</v>
      </c>
      <c r="S199" s="3">
        <v>78660.000000000757</v>
      </c>
      <c r="T199" s="6">
        <f t="shared" si="40"/>
        <v>0.14301870188619006</v>
      </c>
    </row>
    <row r="200" spans="1:20" x14ac:dyDescent="0.35">
      <c r="A200" s="2">
        <v>45245</v>
      </c>
      <c r="B200" s="3">
        <v>302544</v>
      </c>
      <c r="C200" s="3">
        <v>247694</v>
      </c>
      <c r="D200" s="3">
        <f t="shared" si="34"/>
        <v>550238</v>
      </c>
      <c r="E200" s="4">
        <f t="shared" si="35"/>
        <v>3501.6666666666665</v>
      </c>
      <c r="F200" s="4">
        <f t="shared" si="36"/>
        <v>2866.8287037037035</v>
      </c>
      <c r="G200" s="4">
        <f t="shared" si="37"/>
        <v>6368.4953703703704</v>
      </c>
      <c r="H200" s="3">
        <v>182448</v>
      </c>
      <c r="I200" s="3">
        <v>364288</v>
      </c>
      <c r="J200" s="3">
        <v>0</v>
      </c>
      <c r="K200" s="4">
        <f t="shared" si="38"/>
        <v>546736</v>
      </c>
      <c r="L200" s="4">
        <f t="shared" si="41"/>
        <v>2111.6666666666665</v>
      </c>
      <c r="M200" s="4">
        <f t="shared" si="42"/>
        <v>4216.2962962962956</v>
      </c>
      <c r="N200" s="4">
        <f t="shared" si="43"/>
        <v>0</v>
      </c>
      <c r="O200" s="4">
        <f t="shared" si="44"/>
        <v>6327.9629629629617</v>
      </c>
      <c r="P200" s="5">
        <f t="shared" si="39"/>
        <v>6.364518626485266E-3</v>
      </c>
      <c r="Q200" s="7">
        <v>23.284344559659967</v>
      </c>
      <c r="R200" s="7">
        <v>24.177446850272066</v>
      </c>
      <c r="S200" s="3">
        <v>79140.00000000032</v>
      </c>
      <c r="T200" s="6">
        <f t="shared" si="40"/>
        <v>0.14382867050258311</v>
      </c>
    </row>
    <row r="201" spans="1:20" x14ac:dyDescent="0.35">
      <c r="A201" s="2">
        <v>45246</v>
      </c>
      <c r="B201" s="3">
        <v>305532</v>
      </c>
      <c r="C201" s="3">
        <v>247249</v>
      </c>
      <c r="D201" s="3">
        <f t="shared" si="34"/>
        <v>552781</v>
      </c>
      <c r="E201" s="4">
        <f t="shared" si="35"/>
        <v>3536.2499999999995</v>
      </c>
      <c r="F201" s="4">
        <f t="shared" si="36"/>
        <v>2861.6782407407404</v>
      </c>
      <c r="G201" s="4">
        <f t="shared" si="37"/>
        <v>6397.92824074074</v>
      </c>
      <c r="H201" s="3">
        <v>182680</v>
      </c>
      <c r="I201" s="3">
        <v>364384</v>
      </c>
      <c r="J201" s="3">
        <v>0</v>
      </c>
      <c r="K201" s="4">
        <f t="shared" si="38"/>
        <v>547064</v>
      </c>
      <c r="L201" s="4">
        <f t="shared" si="41"/>
        <v>2114.3518518518517</v>
      </c>
      <c r="M201" s="4">
        <f t="shared" si="42"/>
        <v>4217.4074074074069</v>
      </c>
      <c r="N201" s="4">
        <f t="shared" si="43"/>
        <v>0</v>
      </c>
      <c r="O201" s="4">
        <f t="shared" si="44"/>
        <v>6331.7592592592591</v>
      </c>
      <c r="P201" s="5">
        <f t="shared" si="39"/>
        <v>1.0342251271299122E-2</v>
      </c>
      <c r="Q201" s="7">
        <v>18.369419356438549</v>
      </c>
      <c r="R201" s="7">
        <v>23.554174257074681</v>
      </c>
      <c r="S201" s="3">
        <v>78780.000000003376</v>
      </c>
      <c r="T201" s="6">
        <f t="shared" si="40"/>
        <v>0.14251575216949094</v>
      </c>
    </row>
    <row r="202" spans="1:20" x14ac:dyDescent="0.35">
      <c r="A202" s="2">
        <v>45247</v>
      </c>
      <c r="B202" s="3">
        <v>307848</v>
      </c>
      <c r="C202" s="3">
        <v>244327</v>
      </c>
      <c r="D202" s="3">
        <f t="shared" si="34"/>
        <v>552175</v>
      </c>
      <c r="E202" s="4">
        <f t="shared" si="35"/>
        <v>3563.0555555555552</v>
      </c>
      <c r="F202" s="4">
        <f t="shared" si="36"/>
        <v>2827.8587962962961</v>
      </c>
      <c r="G202" s="4">
        <f t="shared" si="37"/>
        <v>6390.9143518518513</v>
      </c>
      <c r="H202" s="3">
        <v>182456</v>
      </c>
      <c r="I202" s="3">
        <v>363056</v>
      </c>
      <c r="J202" s="3">
        <v>0</v>
      </c>
      <c r="K202" s="4">
        <f t="shared" si="38"/>
        <v>545512</v>
      </c>
      <c r="L202" s="4">
        <f t="shared" si="41"/>
        <v>2111.7592592592591</v>
      </c>
      <c r="M202" s="4">
        <f t="shared" si="42"/>
        <v>4202.0370370370365</v>
      </c>
      <c r="N202" s="4">
        <f t="shared" si="43"/>
        <v>0</v>
      </c>
      <c r="O202" s="4">
        <f t="shared" si="44"/>
        <v>6313.7962962962956</v>
      </c>
      <c r="P202" s="5">
        <f t="shared" si="39"/>
        <v>1.2066826640105039E-2</v>
      </c>
      <c r="Q202" s="7">
        <v>19.697850238024504</v>
      </c>
      <c r="R202" s="7">
        <v>23.272458912482456</v>
      </c>
      <c r="S202" s="3">
        <v>77699.999999998909</v>
      </c>
      <c r="T202" s="6">
        <f t="shared" si="40"/>
        <v>0.14071625843256017</v>
      </c>
    </row>
    <row r="203" spans="1:20" x14ac:dyDescent="0.35">
      <c r="A203" s="2">
        <v>45248</v>
      </c>
      <c r="B203" s="3">
        <v>295449</v>
      </c>
      <c r="C203" s="3">
        <v>243390</v>
      </c>
      <c r="D203" s="3">
        <f t="shared" si="34"/>
        <v>538839</v>
      </c>
      <c r="E203" s="4">
        <f t="shared" si="35"/>
        <v>3419.5486111111109</v>
      </c>
      <c r="F203" s="4">
        <f t="shared" si="36"/>
        <v>2817.0138888888887</v>
      </c>
      <c r="G203" s="4">
        <f t="shared" si="37"/>
        <v>6236.5625</v>
      </c>
      <c r="H203" s="3">
        <v>180464</v>
      </c>
      <c r="I203" s="3">
        <v>352656</v>
      </c>
      <c r="J203" s="3">
        <v>1</v>
      </c>
      <c r="K203" s="4">
        <f t="shared" si="38"/>
        <v>533121</v>
      </c>
      <c r="L203" s="4">
        <f t="shared" si="41"/>
        <v>2088.7037037037035</v>
      </c>
      <c r="M203" s="4">
        <f t="shared" si="42"/>
        <v>4081.6666666666665</v>
      </c>
      <c r="N203" s="4">
        <f t="shared" si="43"/>
        <v>1.1574074074074073E-2</v>
      </c>
      <c r="O203" s="4">
        <f t="shared" si="44"/>
        <v>6170.3819444444443</v>
      </c>
      <c r="P203" s="5">
        <f t="shared" si="39"/>
        <v>1.0611704052601983E-2</v>
      </c>
      <c r="Q203" s="7">
        <v>20.136447970987689</v>
      </c>
      <c r="R203" s="7">
        <v>23.113026339964257</v>
      </c>
      <c r="S203" s="3">
        <v>76920.00000000099</v>
      </c>
      <c r="T203" s="6">
        <f t="shared" si="40"/>
        <v>0.14275135986816281</v>
      </c>
    </row>
    <row r="204" spans="1:20" x14ac:dyDescent="0.35">
      <c r="A204" s="2">
        <v>45249</v>
      </c>
      <c r="B204" s="3">
        <v>303618</v>
      </c>
      <c r="C204" s="3">
        <v>248179</v>
      </c>
      <c r="D204" s="3">
        <f t="shared" si="34"/>
        <v>551797</v>
      </c>
      <c r="E204" s="4">
        <f t="shared" si="35"/>
        <v>3514.0972222222222</v>
      </c>
      <c r="F204" s="4">
        <f t="shared" si="36"/>
        <v>2872.4421296296296</v>
      </c>
      <c r="G204" s="4">
        <f t="shared" si="37"/>
        <v>6386.5393518518522</v>
      </c>
      <c r="H204" s="3">
        <v>183904</v>
      </c>
      <c r="I204" s="3">
        <v>362520</v>
      </c>
      <c r="J204" s="3">
        <v>0</v>
      </c>
      <c r="K204" s="4">
        <f t="shared" si="38"/>
        <v>546424</v>
      </c>
      <c r="L204" s="4">
        <f t="shared" si="41"/>
        <v>2128.5185185185182</v>
      </c>
      <c r="M204" s="4">
        <f t="shared" si="42"/>
        <v>4195.833333333333</v>
      </c>
      <c r="N204" s="4">
        <f t="shared" si="43"/>
        <v>0</v>
      </c>
      <c r="O204" s="4">
        <f t="shared" si="44"/>
        <v>6324.3518518518513</v>
      </c>
      <c r="P204" s="5">
        <f t="shared" si="39"/>
        <v>9.737276570912853E-3</v>
      </c>
      <c r="Q204" s="7">
        <v>24.933898218401566</v>
      </c>
      <c r="R204" s="7">
        <v>29.649110089398818</v>
      </c>
      <c r="S204" s="3">
        <v>78899.999999996449</v>
      </c>
      <c r="T204" s="6">
        <f t="shared" si="40"/>
        <v>0.14298736673087467</v>
      </c>
    </row>
    <row r="205" spans="1:20" x14ac:dyDescent="0.35">
      <c r="A205" s="2">
        <v>45250</v>
      </c>
      <c r="B205" s="3">
        <v>301073</v>
      </c>
      <c r="C205" s="3">
        <v>248258</v>
      </c>
      <c r="D205" s="3">
        <f t="shared" si="34"/>
        <v>549331</v>
      </c>
      <c r="E205" s="4">
        <f t="shared" si="35"/>
        <v>3484.6412037037035</v>
      </c>
      <c r="F205" s="4">
        <f t="shared" si="36"/>
        <v>2873.3564814814813</v>
      </c>
      <c r="G205" s="4">
        <f t="shared" si="37"/>
        <v>6357.9976851851843</v>
      </c>
      <c r="H205" s="3">
        <v>181304</v>
      </c>
      <c r="I205" s="3">
        <v>363592</v>
      </c>
      <c r="J205" s="3">
        <v>0</v>
      </c>
      <c r="K205" s="4">
        <f t="shared" si="38"/>
        <v>544896</v>
      </c>
      <c r="L205" s="4">
        <f t="shared" si="41"/>
        <v>2098.4259259259256</v>
      </c>
      <c r="M205" s="4">
        <f t="shared" si="42"/>
        <v>4208.2407407407409</v>
      </c>
      <c r="N205" s="4">
        <f t="shared" si="43"/>
        <v>0</v>
      </c>
      <c r="O205" s="4">
        <f t="shared" si="44"/>
        <v>6306.6666666666661</v>
      </c>
      <c r="P205" s="5">
        <f t="shared" si="39"/>
        <v>8.0734566226919654E-3</v>
      </c>
      <c r="Q205" s="7">
        <v>14.633588314657901</v>
      </c>
      <c r="R205" s="7">
        <v>18.034208883168798</v>
      </c>
      <c r="S205" s="3">
        <v>78780.000000002023</v>
      </c>
      <c r="T205" s="6">
        <f t="shared" si="40"/>
        <v>0.14341080332259062</v>
      </c>
    </row>
    <row r="206" spans="1:20" x14ac:dyDescent="0.35">
      <c r="A206" s="2">
        <v>45251</v>
      </c>
      <c r="B206" s="3">
        <v>305057</v>
      </c>
      <c r="C206" s="3">
        <v>247336</v>
      </c>
      <c r="D206" s="3">
        <f t="shared" si="34"/>
        <v>552393</v>
      </c>
      <c r="E206" s="4">
        <f t="shared" si="35"/>
        <v>3530.7523148148148</v>
      </c>
      <c r="F206" s="4">
        <f t="shared" si="36"/>
        <v>2862.6851851851852</v>
      </c>
      <c r="G206" s="4">
        <f t="shared" si="37"/>
        <v>6393.4375</v>
      </c>
      <c r="H206" s="3">
        <v>183132</v>
      </c>
      <c r="I206" s="3">
        <v>364400</v>
      </c>
      <c r="J206" s="3">
        <v>0</v>
      </c>
      <c r="K206" s="4">
        <f t="shared" si="38"/>
        <v>547532</v>
      </c>
      <c r="L206" s="4">
        <f t="shared" si="41"/>
        <v>2119.583333333333</v>
      </c>
      <c r="M206" s="4">
        <f t="shared" si="42"/>
        <v>4217.5925925925922</v>
      </c>
      <c r="N206" s="4">
        <f t="shared" si="43"/>
        <v>0</v>
      </c>
      <c r="O206" s="4">
        <f t="shared" si="44"/>
        <v>6337.1759259259252</v>
      </c>
      <c r="P206" s="5">
        <f t="shared" si="39"/>
        <v>8.7998942781678993E-3</v>
      </c>
      <c r="Q206" s="7">
        <v>15.001383821343031</v>
      </c>
      <c r="R206" s="7">
        <v>23.980644215259787</v>
      </c>
      <c r="S206" s="3">
        <v>79619.999999997162</v>
      </c>
      <c r="T206" s="6">
        <f t="shared" si="40"/>
        <v>0.14413651150539047</v>
      </c>
    </row>
    <row r="207" spans="1:20" x14ac:dyDescent="0.35">
      <c r="A207" s="2">
        <v>45252</v>
      </c>
      <c r="B207" s="3">
        <v>302025</v>
      </c>
      <c r="C207" s="3">
        <v>246884</v>
      </c>
      <c r="D207" s="3">
        <f t="shared" si="34"/>
        <v>548909</v>
      </c>
      <c r="E207" s="4">
        <f t="shared" si="35"/>
        <v>3495.6597222222222</v>
      </c>
      <c r="F207" s="4">
        <f t="shared" si="36"/>
        <v>2857.4537037037035</v>
      </c>
      <c r="G207" s="4">
        <f t="shared" si="37"/>
        <v>6353.1134259259252</v>
      </c>
      <c r="H207" s="3">
        <v>182352</v>
      </c>
      <c r="I207" s="3">
        <v>363784</v>
      </c>
      <c r="J207" s="3">
        <v>0</v>
      </c>
      <c r="K207" s="4">
        <f t="shared" si="38"/>
        <v>546136</v>
      </c>
      <c r="L207" s="4">
        <f t="shared" si="41"/>
        <v>2110.5555555555552</v>
      </c>
      <c r="M207" s="4">
        <f t="shared" si="42"/>
        <v>4210.4629629629626</v>
      </c>
      <c r="N207" s="4">
        <f t="shared" si="43"/>
        <v>0</v>
      </c>
      <c r="O207" s="4">
        <f t="shared" si="44"/>
        <v>6321.0185185185182</v>
      </c>
      <c r="P207" s="5">
        <f t="shared" si="39"/>
        <v>5.0518391937461405E-3</v>
      </c>
      <c r="Q207" s="7">
        <v>17.195840211301793</v>
      </c>
      <c r="R207" s="7">
        <v>22.792138587634746</v>
      </c>
      <c r="S207" s="3">
        <v>79560.000000004045</v>
      </c>
      <c r="T207" s="6">
        <f t="shared" si="40"/>
        <v>0.14494205779100733</v>
      </c>
    </row>
    <row r="208" spans="1:20" x14ac:dyDescent="0.35">
      <c r="A208" s="2">
        <v>45253</v>
      </c>
      <c r="B208" s="3">
        <v>307769</v>
      </c>
      <c r="C208" s="3">
        <v>246664</v>
      </c>
      <c r="D208" s="3">
        <f t="shared" si="34"/>
        <v>554433</v>
      </c>
      <c r="E208" s="4">
        <f t="shared" si="35"/>
        <v>3562.1412037037035</v>
      </c>
      <c r="F208" s="4">
        <f t="shared" si="36"/>
        <v>2854.9074074074074</v>
      </c>
      <c r="G208" s="4">
        <f t="shared" si="37"/>
        <v>6417.0486111111113</v>
      </c>
      <c r="H208" s="3">
        <v>182604</v>
      </c>
      <c r="I208" s="3">
        <v>363416</v>
      </c>
      <c r="J208" s="3">
        <v>0</v>
      </c>
      <c r="K208" s="4">
        <f t="shared" si="38"/>
        <v>546020</v>
      </c>
      <c r="L208" s="4">
        <f t="shared" si="41"/>
        <v>2113.4722222222222</v>
      </c>
      <c r="M208" s="4">
        <f t="shared" si="42"/>
        <v>4206.2037037037035</v>
      </c>
      <c r="N208" s="4">
        <f t="shared" si="43"/>
        <v>0</v>
      </c>
      <c r="O208" s="4">
        <f t="shared" si="44"/>
        <v>6319.6759259259252</v>
      </c>
      <c r="P208" s="5">
        <f t="shared" si="39"/>
        <v>1.5174060707064695E-2</v>
      </c>
      <c r="Q208" s="7">
        <v>16.813769388376567</v>
      </c>
      <c r="R208" s="7">
        <v>22.565052945982654</v>
      </c>
      <c r="S208" s="3">
        <v>79439.999999993233</v>
      </c>
      <c r="T208" s="6">
        <f t="shared" si="40"/>
        <v>0.14328151462844607</v>
      </c>
    </row>
    <row r="209" spans="1:20" x14ac:dyDescent="0.35">
      <c r="A209" s="2">
        <v>45254</v>
      </c>
      <c r="B209" s="3">
        <v>307628</v>
      </c>
      <c r="C209" s="3">
        <v>242082</v>
      </c>
      <c r="D209" s="3">
        <f t="shared" si="34"/>
        <v>549710</v>
      </c>
      <c r="E209" s="4">
        <f t="shared" si="35"/>
        <v>3560.5092592592591</v>
      </c>
      <c r="F209" s="4">
        <f t="shared" si="36"/>
        <v>2801.875</v>
      </c>
      <c r="G209" s="4">
        <f t="shared" si="37"/>
        <v>6362.3842592592591</v>
      </c>
      <c r="H209" s="3">
        <v>182068</v>
      </c>
      <c r="I209" s="3">
        <v>363120</v>
      </c>
      <c r="J209" s="3">
        <v>0</v>
      </c>
      <c r="K209" s="4">
        <f t="shared" si="38"/>
        <v>545188</v>
      </c>
      <c r="L209" s="4">
        <f t="shared" si="41"/>
        <v>2107.2685185185182</v>
      </c>
      <c r="M209" s="4">
        <f t="shared" si="42"/>
        <v>4202.7777777777774</v>
      </c>
      <c r="N209" s="4">
        <f t="shared" si="43"/>
        <v>0</v>
      </c>
      <c r="O209" s="4">
        <f t="shared" si="44"/>
        <v>6310.0462962962956</v>
      </c>
      <c r="P209" s="5">
        <f t="shared" si="39"/>
        <v>8.2261556093212781E-3</v>
      </c>
      <c r="Q209" s="7">
        <v>15.769331778393743</v>
      </c>
      <c r="R209" s="7">
        <v>23.273835294973715</v>
      </c>
      <c r="S209" s="3">
        <v>79440.000000005515</v>
      </c>
      <c r="T209" s="6">
        <f t="shared" si="40"/>
        <v>0.14451256116862621</v>
      </c>
    </row>
    <row r="210" spans="1:20" x14ac:dyDescent="0.35">
      <c r="A210" s="2">
        <v>45255</v>
      </c>
      <c r="B210" s="3">
        <v>314309</v>
      </c>
      <c r="C210" s="3">
        <v>232266</v>
      </c>
      <c r="D210" s="3">
        <f t="shared" si="34"/>
        <v>546575</v>
      </c>
      <c r="E210" s="4">
        <f t="shared" si="35"/>
        <v>3637.8356481481478</v>
      </c>
      <c r="F210" s="4">
        <f t="shared" si="36"/>
        <v>2688.2638888888887</v>
      </c>
      <c r="G210" s="4">
        <f t="shared" si="37"/>
        <v>6326.0995370370365</v>
      </c>
      <c r="H210" s="3">
        <v>179404</v>
      </c>
      <c r="I210" s="3">
        <v>360360</v>
      </c>
      <c r="J210" s="3">
        <v>0</v>
      </c>
      <c r="K210" s="4">
        <f t="shared" si="38"/>
        <v>539764</v>
      </c>
      <c r="L210" s="4">
        <f t="shared" si="41"/>
        <v>2076.4351851851852</v>
      </c>
      <c r="M210" s="4">
        <f t="shared" si="42"/>
        <v>4170.833333333333</v>
      </c>
      <c r="N210" s="4">
        <f t="shared" si="43"/>
        <v>0</v>
      </c>
      <c r="O210" s="4">
        <f t="shared" si="44"/>
        <v>6247.2685185185182</v>
      </c>
      <c r="P210" s="5">
        <f t="shared" si="39"/>
        <v>1.2461235877967342E-2</v>
      </c>
      <c r="Q210" s="7">
        <v>24.577425039398239</v>
      </c>
      <c r="R210" s="7">
        <v>21.543027031971825</v>
      </c>
      <c r="S210" s="3">
        <v>77759.99999999885</v>
      </c>
      <c r="T210" s="6">
        <f t="shared" si="40"/>
        <v>0.14226775831312968</v>
      </c>
    </row>
    <row r="211" spans="1:20" x14ac:dyDescent="0.35">
      <c r="A211" s="2">
        <v>45256</v>
      </c>
      <c r="B211" s="3">
        <v>305125</v>
      </c>
      <c r="C211" s="3">
        <v>256495</v>
      </c>
      <c r="D211" s="3">
        <f t="shared" si="34"/>
        <v>561620</v>
      </c>
      <c r="E211" s="4">
        <f t="shared" si="35"/>
        <v>3531.5393518518517</v>
      </c>
      <c r="F211" s="4">
        <f t="shared" si="36"/>
        <v>2968.6921296296296</v>
      </c>
      <c r="G211" s="4">
        <f t="shared" si="37"/>
        <v>6500.2314814814818</v>
      </c>
      <c r="H211" s="3">
        <v>182332</v>
      </c>
      <c r="I211" s="3">
        <v>365536</v>
      </c>
      <c r="J211" s="3">
        <v>0</v>
      </c>
      <c r="K211" s="4">
        <f t="shared" si="38"/>
        <v>547868</v>
      </c>
      <c r="L211" s="4">
        <f t="shared" si="41"/>
        <v>2110.3240740740739</v>
      </c>
      <c r="M211" s="4">
        <f t="shared" si="42"/>
        <v>4230.7407407407409</v>
      </c>
      <c r="N211" s="4">
        <f t="shared" si="43"/>
        <v>0</v>
      </c>
      <c r="O211" s="4">
        <f t="shared" si="44"/>
        <v>6341.0648148148148</v>
      </c>
      <c r="P211" s="5">
        <f t="shared" si="39"/>
        <v>2.4486307467682773E-2</v>
      </c>
      <c r="Q211" s="7">
        <v>24.082027390656489</v>
      </c>
      <c r="R211" s="7">
        <v>23.385064634450341</v>
      </c>
      <c r="S211" s="3">
        <v>77459.999999996391</v>
      </c>
      <c r="T211" s="6">
        <f t="shared" si="40"/>
        <v>0.13792243865958548</v>
      </c>
    </row>
    <row r="212" spans="1:20" x14ac:dyDescent="0.35">
      <c r="A212" s="2">
        <v>45257</v>
      </c>
      <c r="B212" s="3">
        <v>303492</v>
      </c>
      <c r="C212" s="3">
        <v>255748</v>
      </c>
      <c r="D212" s="3">
        <f t="shared" si="34"/>
        <v>559240</v>
      </c>
      <c r="E212" s="4">
        <f t="shared" si="35"/>
        <v>3512.6388888888887</v>
      </c>
      <c r="F212" s="4">
        <f t="shared" si="36"/>
        <v>2960.0462962962961</v>
      </c>
      <c r="G212" s="4">
        <f t="shared" si="37"/>
        <v>6472.6851851851843</v>
      </c>
      <c r="H212" s="3">
        <v>182548</v>
      </c>
      <c r="I212" s="3">
        <v>366824</v>
      </c>
      <c r="J212" s="3">
        <v>0</v>
      </c>
      <c r="K212" s="4">
        <f t="shared" si="38"/>
        <v>549372</v>
      </c>
      <c r="L212" s="4">
        <f t="shared" si="41"/>
        <v>2112.8240740740739</v>
      </c>
      <c r="M212" s="4">
        <f t="shared" si="42"/>
        <v>4245.6481481481478</v>
      </c>
      <c r="N212" s="4">
        <f t="shared" si="43"/>
        <v>0</v>
      </c>
      <c r="O212" s="4">
        <f t="shared" si="44"/>
        <v>6358.4722222222217</v>
      </c>
      <c r="P212" s="5">
        <f t="shared" si="39"/>
        <v>1.764537586724841E-2</v>
      </c>
      <c r="Q212" s="7">
        <v>22.911645881866832</v>
      </c>
      <c r="R212" s="7">
        <v>23.180906229883412</v>
      </c>
      <c r="S212" s="3">
        <v>78059.999999997221</v>
      </c>
      <c r="T212" s="6">
        <f t="shared" si="40"/>
        <v>0.13958229025105004</v>
      </c>
    </row>
    <row r="213" spans="1:20" x14ac:dyDescent="0.35">
      <c r="A213" s="2">
        <v>45258</v>
      </c>
      <c r="B213" s="3">
        <v>300010</v>
      </c>
      <c r="C213" s="3">
        <v>252742</v>
      </c>
      <c r="D213" s="3">
        <f t="shared" si="34"/>
        <v>552752</v>
      </c>
      <c r="E213" s="4">
        <f t="shared" si="35"/>
        <v>3472.3379629629626</v>
      </c>
      <c r="F213" s="4">
        <f t="shared" si="36"/>
        <v>2925.2546296296296</v>
      </c>
      <c r="G213" s="4">
        <f t="shared" si="37"/>
        <v>6397.5925925925922</v>
      </c>
      <c r="H213" s="3">
        <v>182692</v>
      </c>
      <c r="I213" s="3">
        <v>367280</v>
      </c>
      <c r="J213" s="3">
        <v>0</v>
      </c>
      <c r="K213" s="4">
        <f t="shared" si="38"/>
        <v>549972</v>
      </c>
      <c r="L213" s="4">
        <f t="shared" si="41"/>
        <v>2114.4907407407404</v>
      </c>
      <c r="M213" s="4">
        <f t="shared" si="42"/>
        <v>4250.9259259259261</v>
      </c>
      <c r="N213" s="4">
        <f t="shared" si="43"/>
        <v>0</v>
      </c>
      <c r="O213" s="4">
        <f t="shared" si="44"/>
        <v>6365.4166666666661</v>
      </c>
      <c r="P213" s="5">
        <f t="shared" si="39"/>
        <v>5.0293802645671112E-3</v>
      </c>
      <c r="Q213" s="7">
        <v>22.931081522190276</v>
      </c>
      <c r="R213" s="7">
        <v>22.940921064057662</v>
      </c>
      <c r="S213" s="3">
        <v>79500.000000006825</v>
      </c>
      <c r="T213" s="6">
        <f t="shared" si="40"/>
        <v>0.14382580252989915</v>
      </c>
    </row>
    <row r="214" spans="1:20" x14ac:dyDescent="0.35">
      <c r="A214" s="2">
        <v>45259</v>
      </c>
      <c r="B214" s="3">
        <v>302564</v>
      </c>
      <c r="C214" s="3">
        <v>253222</v>
      </c>
      <c r="D214" s="3">
        <f t="shared" si="34"/>
        <v>555786</v>
      </c>
      <c r="E214" s="4">
        <f t="shared" si="35"/>
        <v>3501.8981481481478</v>
      </c>
      <c r="F214" s="4">
        <f t="shared" si="36"/>
        <v>2930.8101851851852</v>
      </c>
      <c r="G214" s="4">
        <f t="shared" si="37"/>
        <v>6432.708333333333</v>
      </c>
      <c r="H214" s="3">
        <v>183524</v>
      </c>
      <c r="I214" s="3">
        <v>367216</v>
      </c>
      <c r="J214" s="3">
        <v>0</v>
      </c>
      <c r="K214" s="4">
        <f t="shared" si="38"/>
        <v>550740</v>
      </c>
      <c r="L214" s="4">
        <f t="shared" si="41"/>
        <v>2124.1203703703704</v>
      </c>
      <c r="M214" s="4">
        <f t="shared" si="42"/>
        <v>4250.1851851851852</v>
      </c>
      <c r="N214" s="4">
        <f t="shared" si="43"/>
        <v>0</v>
      </c>
      <c r="O214" s="4">
        <f t="shared" si="44"/>
        <v>6374.3055555555557</v>
      </c>
      <c r="P214" s="5">
        <f t="shared" si="39"/>
        <v>9.0790340166898766E-3</v>
      </c>
      <c r="Q214" s="7">
        <v>22.0061271873683</v>
      </c>
      <c r="R214" s="7">
        <v>22.815688052595782</v>
      </c>
      <c r="S214" s="3">
        <v>80039.999999995416</v>
      </c>
      <c r="T214" s="6">
        <f t="shared" si="40"/>
        <v>0.1440122637130036</v>
      </c>
    </row>
    <row r="215" spans="1:20" x14ac:dyDescent="0.35">
      <c r="A215" s="2">
        <v>45260</v>
      </c>
      <c r="B215" s="3">
        <v>303372</v>
      </c>
      <c r="C215" s="3">
        <v>250453</v>
      </c>
      <c r="D215" s="3">
        <f t="shared" si="34"/>
        <v>553825</v>
      </c>
      <c r="E215" s="4">
        <f t="shared" si="35"/>
        <v>3511.2499999999995</v>
      </c>
      <c r="F215" s="4">
        <f t="shared" si="36"/>
        <v>2898.7615740740739</v>
      </c>
      <c r="G215" s="4">
        <f t="shared" si="37"/>
        <v>6410.011574074073</v>
      </c>
      <c r="H215" s="3">
        <v>182540</v>
      </c>
      <c r="I215" s="3">
        <v>366512</v>
      </c>
      <c r="J215" s="3">
        <v>0</v>
      </c>
      <c r="K215" s="4">
        <f t="shared" si="38"/>
        <v>549052</v>
      </c>
      <c r="L215" s="4">
        <f t="shared" si="41"/>
        <v>2112.7314814814813</v>
      </c>
      <c r="M215" s="4">
        <f t="shared" si="42"/>
        <v>4242.0370370370365</v>
      </c>
      <c r="N215" s="4">
        <f t="shared" si="43"/>
        <v>0</v>
      </c>
      <c r="O215" s="4">
        <f t="shared" si="44"/>
        <v>6354.7685185185182</v>
      </c>
      <c r="P215" s="5">
        <f t="shared" si="39"/>
        <v>8.61824583577845E-3</v>
      </c>
      <c r="Q215" s="7">
        <v>17.105434191141768</v>
      </c>
      <c r="R215" s="7">
        <v>24.838586196000541</v>
      </c>
      <c r="S215" s="3">
        <v>79260.000000002939</v>
      </c>
      <c r="T215" s="6">
        <f t="shared" si="40"/>
        <v>0.14311379948540232</v>
      </c>
    </row>
    <row r="216" spans="1:20" x14ac:dyDescent="0.35">
      <c r="A216" s="2">
        <v>45261</v>
      </c>
      <c r="B216" s="3">
        <v>305535</v>
      </c>
      <c r="C216" s="3">
        <v>247292</v>
      </c>
      <c r="D216" s="3">
        <f t="shared" si="34"/>
        <v>552827</v>
      </c>
      <c r="E216" s="4">
        <f t="shared" si="35"/>
        <v>3536.2847222222222</v>
      </c>
      <c r="F216" s="4">
        <f t="shared" si="36"/>
        <v>2862.1759259259256</v>
      </c>
      <c r="G216" s="4">
        <f t="shared" si="37"/>
        <v>6398.4606481481478</v>
      </c>
      <c r="H216" s="3">
        <v>181836</v>
      </c>
      <c r="I216" s="3">
        <v>365208</v>
      </c>
      <c r="J216" s="3">
        <v>0</v>
      </c>
      <c r="K216" s="4">
        <f t="shared" si="38"/>
        <v>547044</v>
      </c>
      <c r="L216" s="4">
        <f t="shared" si="41"/>
        <v>2104.583333333333</v>
      </c>
      <c r="M216" s="4">
        <f t="shared" si="42"/>
        <v>4226.9444444444443</v>
      </c>
      <c r="N216" s="4">
        <f t="shared" si="43"/>
        <v>0</v>
      </c>
      <c r="O216" s="4">
        <f t="shared" si="44"/>
        <v>6331.5277777777774</v>
      </c>
      <c r="P216" s="5">
        <f t="shared" si="39"/>
        <v>1.0460777060454717E-2</v>
      </c>
      <c r="Q216" s="7">
        <v>59.103681322928772</v>
      </c>
      <c r="R216" s="7">
        <v>22.835407821976858</v>
      </c>
      <c r="S216" s="3">
        <v>79139.999999996231</v>
      </c>
      <c r="T216" s="6">
        <f t="shared" si="40"/>
        <v>0.14315509191844145</v>
      </c>
    </row>
    <row r="217" spans="1:20" x14ac:dyDescent="0.35">
      <c r="A217" s="2">
        <v>45262</v>
      </c>
      <c r="B217" s="3">
        <v>308633</v>
      </c>
      <c r="C217" s="3">
        <v>252342</v>
      </c>
      <c r="D217" s="3">
        <f t="shared" si="34"/>
        <v>560975</v>
      </c>
      <c r="E217" s="4">
        <f t="shared" si="35"/>
        <v>3572.1412037037035</v>
      </c>
      <c r="F217" s="4">
        <f t="shared" si="36"/>
        <v>2920.625</v>
      </c>
      <c r="G217" s="4">
        <f t="shared" si="37"/>
        <v>6492.7662037037035</v>
      </c>
      <c r="H217" s="3">
        <v>181124</v>
      </c>
      <c r="I217" s="3">
        <v>365088</v>
      </c>
      <c r="J217" s="3">
        <v>0</v>
      </c>
      <c r="K217" s="4">
        <f t="shared" si="38"/>
        <v>546212</v>
      </c>
      <c r="L217" s="4">
        <f t="shared" si="41"/>
        <v>2096.3425925925926</v>
      </c>
      <c r="M217" s="4">
        <f t="shared" si="42"/>
        <v>4225.5555555555557</v>
      </c>
      <c r="N217" s="4">
        <f t="shared" si="43"/>
        <v>0</v>
      </c>
      <c r="O217" s="4">
        <f t="shared" si="44"/>
        <v>6321.8981481481478</v>
      </c>
      <c r="P217" s="5">
        <f t="shared" si="39"/>
        <v>2.6316680779000845E-2</v>
      </c>
      <c r="Q217" s="7">
        <v>56.40955997877073</v>
      </c>
      <c r="R217" s="7">
        <v>20.081804001960872</v>
      </c>
      <c r="S217" s="3">
        <v>78060.000000006767</v>
      </c>
      <c r="T217" s="6">
        <f t="shared" si="40"/>
        <v>0.13915058603325775</v>
      </c>
    </row>
    <row r="218" spans="1:20" x14ac:dyDescent="0.35">
      <c r="A218" s="2">
        <v>45263</v>
      </c>
      <c r="B218" s="3">
        <v>308856</v>
      </c>
      <c r="C218" s="3">
        <v>253192</v>
      </c>
      <c r="D218" s="3">
        <f t="shared" si="34"/>
        <v>562048</v>
      </c>
      <c r="E218" s="4">
        <f t="shared" si="35"/>
        <v>3574.7222222222222</v>
      </c>
      <c r="F218" s="4">
        <f t="shared" si="36"/>
        <v>2930.4629629629626</v>
      </c>
      <c r="G218" s="4">
        <f t="shared" si="37"/>
        <v>6505.1851851851843</v>
      </c>
      <c r="H218" s="3">
        <v>182724</v>
      </c>
      <c r="I218" s="3">
        <v>366744</v>
      </c>
      <c r="J218" s="3">
        <v>0</v>
      </c>
      <c r="K218" s="4">
        <f t="shared" si="38"/>
        <v>549468</v>
      </c>
      <c r="L218" s="4">
        <f t="shared" si="41"/>
        <v>2114.8611111111109</v>
      </c>
      <c r="M218" s="4">
        <f t="shared" si="42"/>
        <v>4244.7222222222217</v>
      </c>
      <c r="N218" s="4">
        <f t="shared" si="43"/>
        <v>0</v>
      </c>
      <c r="O218" s="4">
        <f t="shared" si="44"/>
        <v>6359.5833333333321</v>
      </c>
      <c r="P218" s="5">
        <f t="shared" si="39"/>
        <v>2.2382429970393986E-2</v>
      </c>
      <c r="Q218" s="7">
        <v>37.284000213622534</v>
      </c>
      <c r="R218" s="7">
        <v>21.25211725688909</v>
      </c>
      <c r="S218" s="3">
        <v>78119.999999999884</v>
      </c>
      <c r="T218" s="6">
        <f t="shared" si="40"/>
        <v>0.13899168754270078</v>
      </c>
    </row>
    <row r="219" spans="1:20" x14ac:dyDescent="0.35">
      <c r="A219" s="2">
        <v>45264</v>
      </c>
      <c r="B219" s="3">
        <v>304420</v>
      </c>
      <c r="C219" s="3">
        <v>249594</v>
      </c>
      <c r="D219" s="3">
        <f t="shared" si="34"/>
        <v>554014</v>
      </c>
      <c r="E219" s="4">
        <f t="shared" si="35"/>
        <v>3523.3796296296296</v>
      </c>
      <c r="F219" s="4">
        <f t="shared" si="36"/>
        <v>2888.8194444444443</v>
      </c>
      <c r="G219" s="4">
        <f t="shared" si="37"/>
        <v>6412.1990740740739</v>
      </c>
      <c r="H219" s="3">
        <v>182740</v>
      </c>
      <c r="I219" s="3">
        <v>366976</v>
      </c>
      <c r="J219" s="3">
        <v>0</v>
      </c>
      <c r="K219" s="4">
        <f t="shared" si="38"/>
        <v>549716</v>
      </c>
      <c r="L219" s="4">
        <f t="shared" si="41"/>
        <v>2115.0462962962961</v>
      </c>
      <c r="M219" s="4">
        <f t="shared" si="42"/>
        <v>4247.4074074074069</v>
      </c>
      <c r="N219" s="4">
        <f t="shared" si="43"/>
        <v>0</v>
      </c>
      <c r="O219" s="4">
        <f t="shared" si="44"/>
        <v>6362.4537037037026</v>
      </c>
      <c r="P219" s="5">
        <f t="shared" si="39"/>
        <v>7.757926694993267E-3</v>
      </c>
      <c r="Q219" s="7">
        <v>42.553434950639883</v>
      </c>
      <c r="R219" s="7">
        <v>21.355940463598394</v>
      </c>
      <c r="S219" s="3">
        <v>78479.999999996828</v>
      </c>
      <c r="T219" s="6">
        <f t="shared" si="40"/>
        <v>0.14165707003793554</v>
      </c>
    </row>
    <row r="220" spans="1:20" x14ac:dyDescent="0.35">
      <c r="A220" s="2">
        <v>45265</v>
      </c>
      <c r="B220" s="3">
        <v>306228</v>
      </c>
      <c r="C220" s="3">
        <v>246729</v>
      </c>
      <c r="D220" s="3">
        <f t="shared" si="34"/>
        <v>552957</v>
      </c>
      <c r="E220" s="4">
        <f t="shared" si="35"/>
        <v>3544.3055555555552</v>
      </c>
      <c r="F220" s="4">
        <f t="shared" si="36"/>
        <v>2855.6597222222222</v>
      </c>
      <c r="G220" s="4">
        <f t="shared" si="37"/>
        <v>6399.9652777777774</v>
      </c>
      <c r="H220" s="3">
        <v>182560</v>
      </c>
      <c r="I220" s="3">
        <v>366168</v>
      </c>
      <c r="J220" s="3">
        <v>0</v>
      </c>
      <c r="K220" s="4">
        <f t="shared" si="38"/>
        <v>548728</v>
      </c>
      <c r="L220" s="4">
        <f t="shared" si="41"/>
        <v>2112.962962962963</v>
      </c>
      <c r="M220" s="4">
        <f t="shared" si="42"/>
        <v>4238.0555555555557</v>
      </c>
      <c r="N220" s="4">
        <f t="shared" si="43"/>
        <v>0</v>
      </c>
      <c r="O220" s="4">
        <f t="shared" si="44"/>
        <v>6351.0185185185182</v>
      </c>
      <c r="P220" s="5">
        <f t="shared" si="39"/>
        <v>7.6479726271663079E-3</v>
      </c>
      <c r="Q220" s="7">
        <v>61.153141867755721</v>
      </c>
      <c r="R220" s="7">
        <v>19.451602927533244</v>
      </c>
      <c r="S220" s="3">
        <v>79619.999999995794</v>
      </c>
      <c r="T220" s="6">
        <f t="shared" si="40"/>
        <v>0.14398949647078488</v>
      </c>
    </row>
    <row r="221" spans="1:20" x14ac:dyDescent="0.35">
      <c r="A221" s="2">
        <v>45266</v>
      </c>
      <c r="B221" s="3">
        <v>306477</v>
      </c>
      <c r="C221" s="3">
        <v>244081</v>
      </c>
      <c r="D221" s="3">
        <f t="shared" si="34"/>
        <v>550558</v>
      </c>
      <c r="E221" s="4">
        <f t="shared" si="35"/>
        <v>3547.1874999999995</v>
      </c>
      <c r="F221" s="4">
        <f t="shared" si="36"/>
        <v>2825.0115740740739</v>
      </c>
      <c r="G221" s="4">
        <f t="shared" si="37"/>
        <v>6372.199074074073</v>
      </c>
      <c r="H221" s="3">
        <v>181072</v>
      </c>
      <c r="I221" s="3">
        <v>364616</v>
      </c>
      <c r="J221" s="3">
        <v>0</v>
      </c>
      <c r="K221" s="4">
        <f t="shared" si="38"/>
        <v>545688</v>
      </c>
      <c r="L221" s="4">
        <f t="shared" si="41"/>
        <v>2095.7407407407404</v>
      </c>
      <c r="M221" s="4">
        <f t="shared" si="42"/>
        <v>4220.0925925925922</v>
      </c>
      <c r="N221" s="4">
        <f t="shared" si="43"/>
        <v>0</v>
      </c>
      <c r="O221" s="4">
        <f t="shared" si="44"/>
        <v>6315.8333333333321</v>
      </c>
      <c r="P221" s="5">
        <f t="shared" si="39"/>
        <v>8.8455712204708672E-3</v>
      </c>
      <c r="Q221" s="7">
        <v>51.967201840212667</v>
      </c>
      <c r="R221" s="7">
        <v>21.901289237464535</v>
      </c>
      <c r="S221" s="3">
        <v>79080.000000008571</v>
      </c>
      <c r="T221" s="6">
        <f t="shared" si="40"/>
        <v>0.14363609283673759</v>
      </c>
    </row>
    <row r="222" spans="1:20" x14ac:dyDescent="0.35">
      <c r="A222" s="2">
        <v>45267</v>
      </c>
      <c r="B222" s="3">
        <v>304356</v>
      </c>
      <c r="C222" s="3">
        <v>243933</v>
      </c>
      <c r="D222" s="3">
        <f t="shared" si="34"/>
        <v>548289</v>
      </c>
      <c r="E222" s="4">
        <f t="shared" si="35"/>
        <v>3522.6388888888887</v>
      </c>
      <c r="F222" s="4">
        <f t="shared" si="36"/>
        <v>2823.2986111111109</v>
      </c>
      <c r="G222" s="4">
        <f t="shared" si="37"/>
        <v>6345.9375</v>
      </c>
      <c r="H222" s="3">
        <v>181072</v>
      </c>
      <c r="I222" s="3">
        <v>361808</v>
      </c>
      <c r="J222" s="3">
        <v>0</v>
      </c>
      <c r="K222" s="4">
        <f t="shared" si="38"/>
        <v>542880</v>
      </c>
      <c r="L222" s="4">
        <f t="shared" si="41"/>
        <v>2095.7407407407404</v>
      </c>
      <c r="M222" s="4">
        <f t="shared" si="42"/>
        <v>4187.5925925925922</v>
      </c>
      <c r="N222" s="4">
        <f t="shared" si="43"/>
        <v>0</v>
      </c>
      <c r="O222" s="4">
        <f t="shared" si="44"/>
        <v>6283.3333333333321</v>
      </c>
      <c r="P222" s="5">
        <f t="shared" si="39"/>
        <v>9.865235304738925E-3</v>
      </c>
      <c r="Q222" s="7">
        <v>93.251850214903698</v>
      </c>
      <c r="R222" s="7">
        <v>18.687972948572742</v>
      </c>
      <c r="S222" s="3">
        <v>77819.999999991982</v>
      </c>
      <c r="T222" s="6">
        <f t="shared" si="40"/>
        <v>0.14193244803377777</v>
      </c>
    </row>
    <row r="223" spans="1:20" x14ac:dyDescent="0.35">
      <c r="A223" s="2">
        <v>45268</v>
      </c>
      <c r="B223" s="3">
        <v>310297</v>
      </c>
      <c r="C223" s="3">
        <v>247529</v>
      </c>
      <c r="D223" s="3">
        <f t="shared" si="34"/>
        <v>557826</v>
      </c>
      <c r="E223" s="4">
        <f t="shared" si="35"/>
        <v>3591.4004629629626</v>
      </c>
      <c r="F223" s="4">
        <f t="shared" si="36"/>
        <v>2864.9189814814813</v>
      </c>
      <c r="G223" s="4">
        <f t="shared" si="37"/>
        <v>6456.3194444444434</v>
      </c>
      <c r="H223" s="3">
        <v>180592</v>
      </c>
      <c r="I223" s="3">
        <v>362576</v>
      </c>
      <c r="J223" s="3">
        <v>4</v>
      </c>
      <c r="K223" s="4">
        <f t="shared" si="38"/>
        <v>543172</v>
      </c>
      <c r="L223" s="4">
        <f t="shared" si="41"/>
        <v>2090.1851851851852</v>
      </c>
      <c r="M223" s="4">
        <f t="shared" si="42"/>
        <v>4196.4814814814808</v>
      </c>
      <c r="N223" s="4">
        <f t="shared" si="43"/>
        <v>4.6296296296296294E-2</v>
      </c>
      <c r="O223" s="4">
        <f t="shared" si="44"/>
        <v>6286.7129629629626</v>
      </c>
      <c r="P223" s="5">
        <f t="shared" si="39"/>
        <v>2.6269840416187126E-2</v>
      </c>
      <c r="Q223" s="7">
        <v>75.527629324147497</v>
      </c>
      <c r="R223" s="7">
        <v>19.687752094739221</v>
      </c>
      <c r="S223" s="3">
        <v>78840.000000007421</v>
      </c>
      <c r="T223" s="6">
        <f t="shared" si="40"/>
        <v>0.14133439459617769</v>
      </c>
    </row>
    <row r="224" spans="1:20" x14ac:dyDescent="0.35">
      <c r="A224" s="2">
        <v>45269</v>
      </c>
      <c r="B224" s="3">
        <v>308439</v>
      </c>
      <c r="C224" s="3">
        <v>246960</v>
      </c>
      <c r="D224" s="3">
        <f t="shared" si="34"/>
        <v>555399</v>
      </c>
      <c r="E224" s="4">
        <f t="shared" si="35"/>
        <v>3569.895833333333</v>
      </c>
      <c r="F224" s="4">
        <f t="shared" si="36"/>
        <v>2858.333333333333</v>
      </c>
      <c r="G224" s="4">
        <f t="shared" si="37"/>
        <v>6428.2291666666661</v>
      </c>
      <c r="H224" s="3">
        <v>182596</v>
      </c>
      <c r="I224" s="3">
        <v>365256</v>
      </c>
      <c r="J224" s="3">
        <v>0</v>
      </c>
      <c r="K224" s="4">
        <f t="shared" si="38"/>
        <v>547852</v>
      </c>
      <c r="L224" s="4">
        <f t="shared" si="41"/>
        <v>2113.3796296296296</v>
      </c>
      <c r="M224" s="4">
        <f t="shared" si="42"/>
        <v>4227.5</v>
      </c>
      <c r="N224" s="4">
        <f t="shared" si="43"/>
        <v>0</v>
      </c>
      <c r="O224" s="4">
        <f t="shared" si="44"/>
        <v>6340.8796296296296</v>
      </c>
      <c r="P224" s="5">
        <f t="shared" si="39"/>
        <v>1.3588429219354013E-2</v>
      </c>
      <c r="Q224" s="7">
        <v>49.125175618290889</v>
      </c>
      <c r="R224" s="7">
        <v>20.48727131305602</v>
      </c>
      <c r="S224" s="3">
        <v>78959.999999996391</v>
      </c>
      <c r="T224" s="6">
        <f t="shared" si="40"/>
        <v>0.14216806296013568</v>
      </c>
    </row>
    <row r="225" spans="1:20" x14ac:dyDescent="0.35">
      <c r="A225" s="2">
        <v>45270</v>
      </c>
      <c r="B225" s="3">
        <v>311272</v>
      </c>
      <c r="C225" s="3">
        <v>246892</v>
      </c>
      <c r="D225" s="3">
        <f t="shared" si="34"/>
        <v>558164</v>
      </c>
      <c r="E225" s="4">
        <f t="shared" si="35"/>
        <v>3602.6851851851848</v>
      </c>
      <c r="F225" s="4">
        <f t="shared" si="36"/>
        <v>2857.5462962962961</v>
      </c>
      <c r="G225" s="4">
        <f t="shared" si="37"/>
        <v>6460.2314814814808</v>
      </c>
      <c r="H225" s="3">
        <v>181976</v>
      </c>
      <c r="I225" s="3">
        <v>365328</v>
      </c>
      <c r="J225" s="3">
        <v>0</v>
      </c>
      <c r="K225" s="4">
        <f t="shared" si="38"/>
        <v>547304</v>
      </c>
      <c r="L225" s="4">
        <f t="shared" si="41"/>
        <v>2106.2037037037035</v>
      </c>
      <c r="M225" s="4">
        <f t="shared" si="42"/>
        <v>4228.333333333333</v>
      </c>
      <c r="N225" s="4">
        <f t="shared" si="43"/>
        <v>0</v>
      </c>
      <c r="O225" s="4">
        <f t="shared" si="44"/>
        <v>6334.5370370370365</v>
      </c>
      <c r="P225" s="5">
        <f t="shared" si="39"/>
        <v>1.9456647150299912E-2</v>
      </c>
      <c r="Q225" s="7">
        <v>50.283982962204128</v>
      </c>
      <c r="R225" s="7">
        <v>25.659716499093456</v>
      </c>
      <c r="S225" s="3">
        <v>79559.999999995853</v>
      </c>
      <c r="T225" s="6">
        <f t="shared" si="40"/>
        <v>0.14253875205136099</v>
      </c>
    </row>
    <row r="226" spans="1:20" x14ac:dyDescent="0.35">
      <c r="A226" s="2">
        <v>45271</v>
      </c>
      <c r="B226" s="3">
        <v>310380</v>
      </c>
      <c r="C226" s="3">
        <v>246527</v>
      </c>
      <c r="D226" s="3">
        <f t="shared" si="34"/>
        <v>556907</v>
      </c>
      <c r="E226" s="4">
        <f t="shared" si="35"/>
        <v>3592.3611111111109</v>
      </c>
      <c r="F226" s="4">
        <f t="shared" si="36"/>
        <v>2853.3217592592591</v>
      </c>
      <c r="G226" s="4">
        <f t="shared" si="37"/>
        <v>6445.6828703703704</v>
      </c>
      <c r="H226" s="3">
        <v>182684</v>
      </c>
      <c r="I226" s="3">
        <v>366632</v>
      </c>
      <c r="J226" s="3">
        <v>0</v>
      </c>
      <c r="K226" s="4">
        <f t="shared" si="38"/>
        <v>549316</v>
      </c>
      <c r="L226" s="4">
        <f t="shared" si="41"/>
        <v>2114.3981481481478</v>
      </c>
      <c r="M226" s="4">
        <f t="shared" si="42"/>
        <v>4243.4259259259261</v>
      </c>
      <c r="N226" s="4">
        <f t="shared" si="43"/>
        <v>0</v>
      </c>
      <c r="O226" s="4">
        <f t="shared" si="44"/>
        <v>6357.8240740740739</v>
      </c>
      <c r="P226" s="5">
        <f t="shared" si="39"/>
        <v>1.3630642100027473E-2</v>
      </c>
      <c r="Q226" s="7">
        <v>45.831160052288219</v>
      </c>
      <c r="R226" s="7">
        <v>22.464810102943581</v>
      </c>
      <c r="S226" s="3">
        <v>78600.000000006272</v>
      </c>
      <c r="T226" s="6">
        <f t="shared" si="40"/>
        <v>0.14113667093429652</v>
      </c>
    </row>
    <row r="227" spans="1:20" x14ac:dyDescent="0.35">
      <c r="A227" s="2">
        <v>45272</v>
      </c>
      <c r="B227" s="3">
        <v>310330</v>
      </c>
      <c r="C227" s="3">
        <v>247430</v>
      </c>
      <c r="D227" s="3">
        <f t="shared" si="34"/>
        <v>557760</v>
      </c>
      <c r="E227" s="4">
        <f t="shared" si="35"/>
        <v>3591.7824074074074</v>
      </c>
      <c r="F227" s="4">
        <f t="shared" si="36"/>
        <v>2863.7731481481478</v>
      </c>
      <c r="G227" s="4">
        <f t="shared" si="37"/>
        <v>6455.5555555555547</v>
      </c>
      <c r="H227" s="3">
        <v>183076</v>
      </c>
      <c r="I227" s="3">
        <v>367080</v>
      </c>
      <c r="J227" s="3">
        <v>0</v>
      </c>
      <c r="K227" s="4">
        <f t="shared" si="38"/>
        <v>550156</v>
      </c>
      <c r="L227" s="4">
        <f t="shared" si="41"/>
        <v>2118.9351851851852</v>
      </c>
      <c r="M227" s="4">
        <f t="shared" si="42"/>
        <v>4248.6111111111104</v>
      </c>
      <c r="N227" s="4">
        <f t="shared" si="43"/>
        <v>0</v>
      </c>
      <c r="O227" s="4">
        <f t="shared" si="44"/>
        <v>6367.5462962962956</v>
      </c>
      <c r="P227" s="5">
        <f t="shared" si="39"/>
        <v>1.3633103843947218E-2</v>
      </c>
      <c r="Q227" s="7">
        <v>31.093838710805443</v>
      </c>
      <c r="R227" s="7">
        <v>20.806529690189329</v>
      </c>
      <c r="S227" s="3">
        <v>80879.999999998749</v>
      </c>
      <c r="T227" s="6">
        <f t="shared" si="40"/>
        <v>0.14500860585197711</v>
      </c>
    </row>
    <row r="228" spans="1:20" x14ac:dyDescent="0.35">
      <c r="A228" s="2">
        <v>45273</v>
      </c>
      <c r="B228" s="3">
        <v>304274</v>
      </c>
      <c r="C228" s="3">
        <v>244567</v>
      </c>
      <c r="D228" s="3">
        <f t="shared" si="34"/>
        <v>548841</v>
      </c>
      <c r="E228" s="4">
        <f t="shared" si="35"/>
        <v>3521.6898148148148</v>
      </c>
      <c r="F228" s="4">
        <f t="shared" si="36"/>
        <v>2830.6365740740739</v>
      </c>
      <c r="G228" s="4">
        <f t="shared" si="37"/>
        <v>6352.3263888888887</v>
      </c>
      <c r="H228" s="3">
        <v>176000</v>
      </c>
      <c r="I228" s="3">
        <v>367696</v>
      </c>
      <c r="J228" s="3">
        <v>0</v>
      </c>
      <c r="K228" s="4">
        <f t="shared" si="38"/>
        <v>543696</v>
      </c>
      <c r="L228" s="4">
        <f t="shared" si="41"/>
        <v>2037.037037037037</v>
      </c>
      <c r="M228" s="4">
        <f t="shared" si="42"/>
        <v>4255.7407407407409</v>
      </c>
      <c r="N228" s="4">
        <f t="shared" si="43"/>
        <v>0</v>
      </c>
      <c r="O228" s="4">
        <f t="shared" si="44"/>
        <v>6292.7777777777774</v>
      </c>
      <c r="P228" s="5">
        <f t="shared" si="39"/>
        <v>9.3742996605574291E-3</v>
      </c>
      <c r="Q228" s="7">
        <v>30.111691096132692</v>
      </c>
      <c r="R228" s="7">
        <v>21.14464845009757</v>
      </c>
      <c r="S228" s="3">
        <v>77939.99999999869</v>
      </c>
      <c r="T228" s="6">
        <f t="shared" si="40"/>
        <v>0.14200834121357314</v>
      </c>
    </row>
    <row r="229" spans="1:20" x14ac:dyDescent="0.35">
      <c r="A229" s="2">
        <v>45274</v>
      </c>
      <c r="B229" s="3">
        <v>307780</v>
      </c>
      <c r="C229" s="3">
        <v>245101</v>
      </c>
      <c r="D229" s="3">
        <f t="shared" si="34"/>
        <v>552881</v>
      </c>
      <c r="E229" s="4">
        <f t="shared" si="35"/>
        <v>3562.2685185185182</v>
      </c>
      <c r="F229" s="4">
        <f t="shared" si="36"/>
        <v>2836.8171296296296</v>
      </c>
      <c r="G229" s="4">
        <f t="shared" si="37"/>
        <v>6399.0856481481478</v>
      </c>
      <c r="H229" s="3">
        <v>179980</v>
      </c>
      <c r="I229" s="3">
        <v>367216</v>
      </c>
      <c r="J229" s="3">
        <v>0</v>
      </c>
      <c r="K229" s="4">
        <f t="shared" si="38"/>
        <v>547196</v>
      </c>
      <c r="L229" s="4">
        <f t="shared" si="41"/>
        <v>2083.1018518518517</v>
      </c>
      <c r="M229" s="4">
        <f t="shared" si="42"/>
        <v>4250.1851851851852</v>
      </c>
      <c r="N229" s="4">
        <f t="shared" si="43"/>
        <v>0</v>
      </c>
      <c r="O229" s="4">
        <f t="shared" si="44"/>
        <v>6333.2870370370365</v>
      </c>
      <c r="P229" s="5">
        <f t="shared" si="39"/>
        <v>1.0282502021230608E-2</v>
      </c>
      <c r="Q229" s="7">
        <v>24.069027646781436</v>
      </c>
      <c r="R229" s="7">
        <v>21.502095387615057</v>
      </c>
      <c r="S229" s="3">
        <v>78779.999999997934</v>
      </c>
      <c r="T229" s="6">
        <f t="shared" si="40"/>
        <v>0.14248997523879087</v>
      </c>
    </row>
    <row r="230" spans="1:20" x14ac:dyDescent="0.35">
      <c r="A230" s="2">
        <v>45275</v>
      </c>
      <c r="B230" s="3">
        <v>309234</v>
      </c>
      <c r="C230" s="3">
        <v>241230</v>
      </c>
      <c r="D230" s="3">
        <f t="shared" si="34"/>
        <v>550464</v>
      </c>
      <c r="E230" s="4">
        <f t="shared" si="35"/>
        <v>3579.0972222222222</v>
      </c>
      <c r="F230" s="4">
        <f t="shared" si="36"/>
        <v>2792.0138888888887</v>
      </c>
      <c r="G230" s="4">
        <f t="shared" si="37"/>
        <v>6371.1111111111113</v>
      </c>
      <c r="H230" s="3">
        <v>179056</v>
      </c>
      <c r="I230" s="3">
        <v>366288</v>
      </c>
      <c r="J230" s="3">
        <v>0</v>
      </c>
      <c r="K230" s="4">
        <f t="shared" si="38"/>
        <v>545344</v>
      </c>
      <c r="L230" s="4">
        <f t="shared" si="41"/>
        <v>2072.4074074074074</v>
      </c>
      <c r="M230" s="4">
        <f t="shared" si="42"/>
        <v>4239.4444444444443</v>
      </c>
      <c r="N230" s="4">
        <f t="shared" si="43"/>
        <v>0</v>
      </c>
      <c r="O230" s="4">
        <f t="shared" si="44"/>
        <v>6311.8518518518522</v>
      </c>
      <c r="P230" s="5">
        <f t="shared" si="39"/>
        <v>9.3012440413905353E-3</v>
      </c>
      <c r="Q230" s="7">
        <v>41.538562658724103</v>
      </c>
      <c r="R230" s="7">
        <v>23.447636902685733</v>
      </c>
      <c r="S230" s="3">
        <v>79020.000000001804</v>
      </c>
      <c r="T230" s="6">
        <f t="shared" si="40"/>
        <v>0.14355162190443299</v>
      </c>
    </row>
    <row r="231" spans="1:20" x14ac:dyDescent="0.35">
      <c r="A231" s="2">
        <v>45276</v>
      </c>
      <c r="B231" s="3">
        <v>311660</v>
      </c>
      <c r="C231" s="3">
        <v>239743</v>
      </c>
      <c r="D231" s="3">
        <f t="shared" si="34"/>
        <v>551403</v>
      </c>
      <c r="E231" s="4">
        <f t="shared" si="35"/>
        <v>3607.1759259259256</v>
      </c>
      <c r="F231" s="4">
        <f t="shared" si="36"/>
        <v>2774.8032407407404</v>
      </c>
      <c r="G231" s="4">
        <f t="shared" si="37"/>
        <v>6381.9791666666661</v>
      </c>
      <c r="H231" s="3">
        <v>179748</v>
      </c>
      <c r="I231" s="3">
        <v>364496</v>
      </c>
      <c r="J231" s="3">
        <v>0</v>
      </c>
      <c r="K231" s="4">
        <f t="shared" si="38"/>
        <v>544244</v>
      </c>
      <c r="L231" s="4">
        <f t="shared" si="41"/>
        <v>2080.4166666666665</v>
      </c>
      <c r="M231" s="4">
        <f t="shared" si="42"/>
        <v>4218.7037037037035</v>
      </c>
      <c r="N231" s="4">
        <f t="shared" si="43"/>
        <v>0</v>
      </c>
      <c r="O231" s="4">
        <f t="shared" si="44"/>
        <v>6299.1203703703704</v>
      </c>
      <c r="P231" s="5">
        <f t="shared" si="39"/>
        <v>1.2983244559786581E-2</v>
      </c>
      <c r="Q231" s="7">
        <v>36.091729852217853</v>
      </c>
      <c r="R231" s="7">
        <v>23.67463724354057</v>
      </c>
      <c r="S231" s="3">
        <v>77879.999999997381</v>
      </c>
      <c r="T231" s="6">
        <f t="shared" si="40"/>
        <v>0.14123971033889438</v>
      </c>
    </row>
    <row r="232" spans="1:20" x14ac:dyDescent="0.35">
      <c r="A232" s="2">
        <v>45277</v>
      </c>
      <c r="B232" s="3">
        <v>305800</v>
      </c>
      <c r="C232" s="3">
        <v>249333</v>
      </c>
      <c r="D232" s="3">
        <f t="shared" si="34"/>
        <v>555133</v>
      </c>
      <c r="E232" s="4">
        <f t="shared" si="35"/>
        <v>3539.3518518518517</v>
      </c>
      <c r="F232" s="4">
        <f t="shared" si="36"/>
        <v>2885.7986111111109</v>
      </c>
      <c r="G232" s="4">
        <f t="shared" si="37"/>
        <v>6425.1504629629626</v>
      </c>
      <c r="H232" s="3">
        <v>179504</v>
      </c>
      <c r="I232" s="3">
        <v>364832</v>
      </c>
      <c r="J232" s="3">
        <v>128</v>
      </c>
      <c r="K232" s="4">
        <f t="shared" si="38"/>
        <v>544464</v>
      </c>
      <c r="L232" s="4">
        <f t="shared" si="41"/>
        <v>2077.5925925925926</v>
      </c>
      <c r="M232" s="4">
        <f t="shared" si="42"/>
        <v>4222.5925925925922</v>
      </c>
      <c r="N232" s="4">
        <f t="shared" si="43"/>
        <v>1.4814814814814814</v>
      </c>
      <c r="O232" s="4">
        <f t="shared" si="44"/>
        <v>6301.6666666666661</v>
      </c>
      <c r="P232" s="5">
        <f t="shared" si="39"/>
        <v>1.9218817832843661E-2</v>
      </c>
      <c r="Q232" s="7">
        <v>33.80895353303243</v>
      </c>
      <c r="R232" s="7">
        <v>22.026721524391451</v>
      </c>
      <c r="S232" s="3">
        <v>78419.999999999622</v>
      </c>
      <c r="T232" s="6">
        <f t="shared" si="40"/>
        <v>0.14126344497624826</v>
      </c>
    </row>
    <row r="233" spans="1:20" x14ac:dyDescent="0.35">
      <c r="A233" s="2">
        <v>45278</v>
      </c>
      <c r="B233" s="3">
        <v>299966</v>
      </c>
      <c r="C233" s="3">
        <v>252765</v>
      </c>
      <c r="D233" s="3">
        <f t="shared" si="34"/>
        <v>552731</v>
      </c>
      <c r="E233" s="4">
        <f t="shared" si="35"/>
        <v>3471.8287037037035</v>
      </c>
      <c r="F233" s="4">
        <f t="shared" si="36"/>
        <v>2925.520833333333</v>
      </c>
      <c r="G233" s="4">
        <f t="shared" si="37"/>
        <v>6397.3495370370365</v>
      </c>
      <c r="H233" s="3">
        <v>180868</v>
      </c>
      <c r="I233" s="3">
        <v>366224</v>
      </c>
      <c r="J233" s="3">
        <v>0</v>
      </c>
      <c r="K233" s="4">
        <f t="shared" si="38"/>
        <v>547092</v>
      </c>
      <c r="L233" s="4">
        <f t="shared" si="41"/>
        <v>2093.3796296296296</v>
      </c>
      <c r="M233" s="4">
        <f t="shared" si="42"/>
        <v>4238.7037037037035</v>
      </c>
      <c r="N233" s="4">
        <f t="shared" si="43"/>
        <v>0</v>
      </c>
      <c r="O233" s="4">
        <f t="shared" si="44"/>
        <v>6332.083333333333</v>
      </c>
      <c r="P233" s="5">
        <f t="shared" si="39"/>
        <v>1.0202069361045427E-2</v>
      </c>
      <c r="Q233" s="7">
        <v>32.514408597513793</v>
      </c>
      <c r="R233" s="7">
        <v>23.761142400191051</v>
      </c>
      <c r="S233" s="3">
        <v>78239.999999999782</v>
      </c>
      <c r="T233" s="6">
        <f t="shared" si="40"/>
        <v>0.14155167703638802</v>
      </c>
    </row>
    <row r="234" spans="1:20" x14ac:dyDescent="0.35">
      <c r="A234" s="2">
        <v>45279</v>
      </c>
      <c r="B234" s="3">
        <v>297424</v>
      </c>
      <c r="C234" s="3">
        <v>253510</v>
      </c>
      <c r="D234" s="3">
        <f t="shared" si="34"/>
        <v>550934</v>
      </c>
      <c r="E234" s="4">
        <f t="shared" si="35"/>
        <v>3442.4074074074074</v>
      </c>
      <c r="F234" s="4">
        <f t="shared" si="36"/>
        <v>2934.1435185185182</v>
      </c>
      <c r="G234" s="4">
        <f t="shared" si="37"/>
        <v>6376.5509259259252</v>
      </c>
      <c r="H234" s="3">
        <v>180636</v>
      </c>
      <c r="I234" s="3">
        <v>365400</v>
      </c>
      <c r="J234" s="3">
        <v>74</v>
      </c>
      <c r="K234" s="4">
        <f t="shared" si="38"/>
        <v>546110</v>
      </c>
      <c r="L234" s="4">
        <f t="shared" si="41"/>
        <v>2090.6944444444443</v>
      </c>
      <c r="M234" s="4">
        <f t="shared" si="42"/>
        <v>4229.1666666666661</v>
      </c>
      <c r="N234" s="4">
        <f t="shared" si="43"/>
        <v>0.8564814814814814</v>
      </c>
      <c r="O234" s="4">
        <f t="shared" si="44"/>
        <v>6320.7175925925922</v>
      </c>
      <c r="P234" s="5">
        <f t="shared" si="39"/>
        <v>8.7560397434175413E-3</v>
      </c>
      <c r="Q234" s="7">
        <v>31.26522032142141</v>
      </c>
      <c r="R234" s="7">
        <v>24.763419937778391</v>
      </c>
      <c r="S234" s="3">
        <v>79260.000000002939</v>
      </c>
      <c r="T234" s="6">
        <f t="shared" si="40"/>
        <v>0.14386478235143038</v>
      </c>
    </row>
    <row r="235" spans="1:20" x14ac:dyDescent="0.35">
      <c r="A235" s="2">
        <v>45280</v>
      </c>
      <c r="B235" s="3">
        <v>299726</v>
      </c>
      <c r="C235" s="3">
        <v>256134</v>
      </c>
      <c r="D235" s="3">
        <f t="shared" si="34"/>
        <v>555860</v>
      </c>
      <c r="E235" s="4">
        <f t="shared" si="35"/>
        <v>3469.0509259259256</v>
      </c>
      <c r="F235" s="4">
        <f t="shared" si="36"/>
        <v>2964.5138888888887</v>
      </c>
      <c r="G235" s="4">
        <f t="shared" si="37"/>
        <v>6433.5648148148139</v>
      </c>
      <c r="H235" s="3">
        <v>181616</v>
      </c>
      <c r="I235" s="3">
        <v>363904</v>
      </c>
      <c r="J235" s="3">
        <v>22</v>
      </c>
      <c r="K235" s="4">
        <f t="shared" si="38"/>
        <v>545542</v>
      </c>
      <c r="L235" s="4">
        <f t="shared" si="41"/>
        <v>2102.037037037037</v>
      </c>
      <c r="M235" s="4">
        <f t="shared" si="42"/>
        <v>4211.8518518518513</v>
      </c>
      <c r="N235" s="4">
        <f t="shared" si="43"/>
        <v>0.25462962962962959</v>
      </c>
      <c r="O235" s="4">
        <f t="shared" si="44"/>
        <v>6314.1435185185182</v>
      </c>
      <c r="P235" s="5">
        <f t="shared" si="39"/>
        <v>1.8562227899111286E-2</v>
      </c>
      <c r="Q235" s="7">
        <v>29.563523055481294</v>
      </c>
      <c r="R235" s="7">
        <v>24.136599143669269</v>
      </c>
      <c r="S235" s="3">
        <v>77219.999999997977</v>
      </c>
      <c r="T235" s="6">
        <f t="shared" si="40"/>
        <v>0.13891987191018956</v>
      </c>
    </row>
    <row r="236" spans="1:20" x14ac:dyDescent="0.35">
      <c r="A236" s="2">
        <v>45281</v>
      </c>
      <c r="B236" s="3">
        <v>293582</v>
      </c>
      <c r="C236" s="3">
        <v>253241</v>
      </c>
      <c r="D236" s="3">
        <f t="shared" si="34"/>
        <v>546823</v>
      </c>
      <c r="E236" s="4">
        <f t="shared" si="35"/>
        <v>3397.9398148148148</v>
      </c>
      <c r="F236" s="4">
        <f t="shared" si="36"/>
        <v>2931.0300925925926</v>
      </c>
      <c r="G236" s="4">
        <f t="shared" si="37"/>
        <v>6328.9699074074069</v>
      </c>
      <c r="H236" s="3">
        <v>181616</v>
      </c>
      <c r="I236" s="3">
        <v>364552</v>
      </c>
      <c r="J236" s="3">
        <v>0</v>
      </c>
      <c r="K236" s="4">
        <f t="shared" si="38"/>
        <v>546168</v>
      </c>
      <c r="L236" s="4">
        <f t="shared" si="41"/>
        <v>2102.037037037037</v>
      </c>
      <c r="M236" s="4">
        <f t="shared" si="42"/>
        <v>4219.3518518518513</v>
      </c>
      <c r="N236" s="4">
        <f t="shared" si="43"/>
        <v>0</v>
      </c>
      <c r="O236" s="4">
        <f t="shared" si="44"/>
        <v>6321.3888888888887</v>
      </c>
      <c r="P236" s="5">
        <f t="shared" si="39"/>
        <v>1.1978281820625688E-3</v>
      </c>
      <c r="Q236" s="7">
        <v>30.954263910891555</v>
      </c>
      <c r="R236" s="7">
        <v>22.775559916097166</v>
      </c>
      <c r="S236" s="3">
        <v>79140.00000000032</v>
      </c>
      <c r="T236" s="6">
        <f t="shared" si="40"/>
        <v>0.14472690431821689</v>
      </c>
    </row>
    <row r="237" spans="1:20" x14ac:dyDescent="0.35">
      <c r="A237" s="2">
        <v>45282</v>
      </c>
      <c r="B237" s="3">
        <v>290018</v>
      </c>
      <c r="C237" s="3">
        <v>256899</v>
      </c>
      <c r="D237" s="3">
        <f t="shared" si="34"/>
        <v>546917</v>
      </c>
      <c r="E237" s="4">
        <f t="shared" si="35"/>
        <v>3356.6898148148148</v>
      </c>
      <c r="F237" s="4">
        <f t="shared" si="36"/>
        <v>2973.3680555555552</v>
      </c>
      <c r="G237" s="4">
        <f t="shared" si="37"/>
        <v>6330.0578703703704</v>
      </c>
      <c r="H237" s="3">
        <v>180736</v>
      </c>
      <c r="I237" s="3">
        <v>361528</v>
      </c>
      <c r="J237" s="3">
        <v>0</v>
      </c>
      <c r="K237" s="4">
        <f t="shared" si="38"/>
        <v>542264</v>
      </c>
      <c r="L237" s="4">
        <f t="shared" si="41"/>
        <v>2091.8518518518517</v>
      </c>
      <c r="M237" s="4">
        <f t="shared" si="42"/>
        <v>4184.3518518518513</v>
      </c>
      <c r="N237" s="4">
        <f t="shared" si="43"/>
        <v>0</v>
      </c>
      <c r="O237" s="4">
        <f t="shared" si="44"/>
        <v>6276.2037037037026</v>
      </c>
      <c r="P237" s="5">
        <f t="shared" si="39"/>
        <v>8.507689466591823E-3</v>
      </c>
      <c r="Q237" s="7">
        <v>36.23861243725667</v>
      </c>
      <c r="R237" s="7">
        <v>23.910227694513061</v>
      </c>
      <c r="S237" s="3">
        <v>78780.000000000655</v>
      </c>
      <c r="T237" s="6">
        <f t="shared" si="40"/>
        <v>0.14404379457943464</v>
      </c>
    </row>
    <row r="238" spans="1:20" x14ac:dyDescent="0.35">
      <c r="A238" s="2">
        <v>45283</v>
      </c>
      <c r="B238" s="3">
        <v>285932</v>
      </c>
      <c r="C238" s="3">
        <v>260319</v>
      </c>
      <c r="D238" s="3">
        <f t="shared" si="34"/>
        <v>546251</v>
      </c>
      <c r="E238" s="4">
        <f t="shared" si="35"/>
        <v>3309.3981481481478</v>
      </c>
      <c r="F238" s="4">
        <f t="shared" si="36"/>
        <v>3012.9513888888887</v>
      </c>
      <c r="G238" s="4">
        <f t="shared" si="37"/>
        <v>6322.3495370370365</v>
      </c>
      <c r="H238" s="3">
        <v>179372</v>
      </c>
      <c r="I238" s="3">
        <v>361144</v>
      </c>
      <c r="J238" s="3">
        <v>0</v>
      </c>
      <c r="K238" s="4">
        <f t="shared" si="38"/>
        <v>540516</v>
      </c>
      <c r="L238" s="4">
        <f t="shared" si="41"/>
        <v>2076.0648148148148</v>
      </c>
      <c r="M238" s="4">
        <f t="shared" si="42"/>
        <v>4179.9074074074069</v>
      </c>
      <c r="N238" s="4">
        <f t="shared" si="43"/>
        <v>0</v>
      </c>
      <c r="O238" s="4">
        <f t="shared" si="44"/>
        <v>6255.9722222222217</v>
      </c>
      <c r="P238" s="5">
        <f t="shared" si="39"/>
        <v>1.0498836615402077E-2</v>
      </c>
      <c r="Q238" s="7">
        <v>46.227910666986539</v>
      </c>
      <c r="R238" s="7">
        <v>27.152023520323073</v>
      </c>
      <c r="S238" s="3">
        <v>78120.000000002619</v>
      </c>
      <c r="T238" s="6">
        <f t="shared" si="40"/>
        <v>0.14301117984223849</v>
      </c>
    </row>
    <row r="239" spans="1:20" x14ac:dyDescent="0.35">
      <c r="A239" s="2">
        <v>45284</v>
      </c>
      <c r="B239" s="3">
        <v>298764</v>
      </c>
      <c r="C239" s="3">
        <v>257179</v>
      </c>
      <c r="D239" s="3">
        <f t="shared" si="34"/>
        <v>555943</v>
      </c>
      <c r="E239" s="4">
        <f t="shared" si="35"/>
        <v>3457.9166666666665</v>
      </c>
      <c r="F239" s="4">
        <f t="shared" si="36"/>
        <v>2976.6087962962961</v>
      </c>
      <c r="G239" s="4">
        <f t="shared" si="37"/>
        <v>6434.5254629629626</v>
      </c>
      <c r="H239" s="3">
        <v>180832</v>
      </c>
      <c r="I239" s="3">
        <v>364080</v>
      </c>
      <c r="J239" s="3">
        <v>0</v>
      </c>
      <c r="K239" s="4">
        <f t="shared" si="38"/>
        <v>544912</v>
      </c>
      <c r="L239" s="4">
        <f t="shared" si="41"/>
        <v>2092.962962962963</v>
      </c>
      <c r="M239" s="4">
        <f t="shared" si="42"/>
        <v>4213.8888888888887</v>
      </c>
      <c r="N239" s="4">
        <f t="shared" si="43"/>
        <v>0</v>
      </c>
      <c r="O239" s="4">
        <f t="shared" si="44"/>
        <v>6306.8518518518522</v>
      </c>
      <c r="P239" s="5">
        <f t="shared" si="39"/>
        <v>1.9841962215550873E-2</v>
      </c>
      <c r="Q239" s="7">
        <v>45.715443819728058</v>
      </c>
      <c r="R239" s="7">
        <v>32.380981503499463</v>
      </c>
      <c r="S239" s="3">
        <v>78120.000000002619</v>
      </c>
      <c r="T239" s="6">
        <f t="shared" si="40"/>
        <v>0.14051800274489043</v>
      </c>
    </row>
    <row r="240" spans="1:20" x14ac:dyDescent="0.35">
      <c r="A240" s="2">
        <v>45285</v>
      </c>
      <c r="B240" s="3">
        <v>297438</v>
      </c>
      <c r="C240" s="3">
        <v>258431</v>
      </c>
      <c r="D240" s="3">
        <f t="shared" si="34"/>
        <v>555869</v>
      </c>
      <c r="E240" s="4">
        <f t="shared" si="35"/>
        <v>3442.5694444444443</v>
      </c>
      <c r="F240" s="4">
        <f t="shared" si="36"/>
        <v>2991.099537037037</v>
      </c>
      <c r="G240" s="4">
        <f t="shared" si="37"/>
        <v>6433.6689814814818</v>
      </c>
      <c r="H240" s="3">
        <v>180600</v>
      </c>
      <c r="I240" s="3">
        <v>364400</v>
      </c>
      <c r="J240" s="3">
        <v>0</v>
      </c>
      <c r="K240" s="4">
        <f t="shared" si="38"/>
        <v>545000</v>
      </c>
      <c r="L240" s="4">
        <f t="shared" si="41"/>
        <v>2090.2777777777778</v>
      </c>
      <c r="M240" s="4">
        <f t="shared" si="42"/>
        <v>4217.5925925925922</v>
      </c>
      <c r="N240" s="4">
        <f t="shared" si="43"/>
        <v>0</v>
      </c>
      <c r="O240" s="4">
        <f t="shared" si="44"/>
        <v>6307.8703703703704</v>
      </c>
      <c r="P240" s="5">
        <f t="shared" si="39"/>
        <v>1.9553168102556539E-2</v>
      </c>
      <c r="Q240" s="7">
        <v>37.049638055366188</v>
      </c>
      <c r="R240" s="7">
        <v>31.876089510298289</v>
      </c>
      <c r="S240" s="3">
        <v>77520.000000001804</v>
      </c>
      <c r="T240" s="6">
        <f t="shared" si="40"/>
        <v>0.13945731818108548</v>
      </c>
    </row>
    <row r="241" spans="1:20" x14ac:dyDescent="0.35">
      <c r="A241" s="2">
        <v>45286</v>
      </c>
      <c r="B241" s="3">
        <v>297342</v>
      </c>
      <c r="C241" s="3">
        <v>256814</v>
      </c>
      <c r="D241" s="3">
        <f t="shared" si="34"/>
        <v>554156</v>
      </c>
      <c r="E241" s="4">
        <f t="shared" si="35"/>
        <v>3441.458333333333</v>
      </c>
      <c r="F241" s="4">
        <f t="shared" si="36"/>
        <v>2972.3842592592591</v>
      </c>
      <c r="G241" s="4">
        <f t="shared" si="37"/>
        <v>6413.8425925925922</v>
      </c>
      <c r="H241" s="3">
        <v>181428</v>
      </c>
      <c r="I241" s="3">
        <v>364832</v>
      </c>
      <c r="J241" s="3">
        <v>0</v>
      </c>
      <c r="K241" s="4">
        <f t="shared" si="38"/>
        <v>546260</v>
      </c>
      <c r="L241" s="4">
        <f t="shared" si="41"/>
        <v>2099.8611111111109</v>
      </c>
      <c r="M241" s="4">
        <f t="shared" si="42"/>
        <v>4222.5925925925922</v>
      </c>
      <c r="N241" s="4">
        <f t="shared" si="43"/>
        <v>0</v>
      </c>
      <c r="O241" s="4">
        <f t="shared" si="44"/>
        <v>6322.4537037037026</v>
      </c>
      <c r="P241" s="5">
        <f t="shared" si="39"/>
        <v>1.4248695313233096E-2</v>
      </c>
      <c r="Q241" s="7">
        <v>64.34437963555807</v>
      </c>
      <c r="R241" s="7">
        <v>23.291419744620647</v>
      </c>
      <c r="S241" s="3">
        <v>78000</v>
      </c>
      <c r="T241" s="6">
        <f t="shared" si="40"/>
        <v>0.14075458896050932</v>
      </c>
    </row>
    <row r="242" spans="1:20" x14ac:dyDescent="0.35">
      <c r="A242" s="2">
        <v>45287</v>
      </c>
      <c r="B242" s="3">
        <v>298704</v>
      </c>
      <c r="C242" s="3">
        <v>256275</v>
      </c>
      <c r="D242" s="3">
        <f t="shared" si="34"/>
        <v>554979</v>
      </c>
      <c r="E242" s="4">
        <f t="shared" si="35"/>
        <v>3457.2222222222222</v>
      </c>
      <c r="F242" s="4">
        <f t="shared" si="36"/>
        <v>2966.145833333333</v>
      </c>
      <c r="G242" s="4">
        <f t="shared" si="37"/>
        <v>6423.3680555555547</v>
      </c>
      <c r="H242" s="3">
        <v>181492</v>
      </c>
      <c r="I242" s="3">
        <v>363248</v>
      </c>
      <c r="J242" s="3">
        <v>0</v>
      </c>
      <c r="K242" s="4">
        <f t="shared" si="38"/>
        <v>544740</v>
      </c>
      <c r="L242" s="4">
        <f t="shared" si="41"/>
        <v>2100.6018518518517</v>
      </c>
      <c r="M242" s="4">
        <f t="shared" si="42"/>
        <v>4204.2592592592591</v>
      </c>
      <c r="N242" s="4">
        <f t="shared" si="43"/>
        <v>0</v>
      </c>
      <c r="O242" s="4">
        <f t="shared" si="44"/>
        <v>6304.8611111111113</v>
      </c>
      <c r="P242" s="5">
        <f t="shared" si="39"/>
        <v>1.8449346732038508E-2</v>
      </c>
      <c r="Q242" s="7">
        <v>46.314556269637137</v>
      </c>
      <c r="R242" s="7">
        <v>21.930829815182197</v>
      </c>
      <c r="S242" s="3">
        <v>77220.000000000713</v>
      </c>
      <c r="T242" s="6">
        <f t="shared" si="40"/>
        <v>0.13914039990702479</v>
      </c>
    </row>
    <row r="243" spans="1:20" x14ac:dyDescent="0.35">
      <c r="A243" s="2">
        <v>45288</v>
      </c>
      <c r="B243" s="3">
        <v>294450</v>
      </c>
      <c r="C243" s="3">
        <v>256793</v>
      </c>
      <c r="D243" s="3">
        <f t="shared" si="34"/>
        <v>551243</v>
      </c>
      <c r="E243" s="4">
        <f t="shared" si="35"/>
        <v>3407.9861111111109</v>
      </c>
      <c r="F243" s="4">
        <f t="shared" si="36"/>
        <v>2972.1412037037035</v>
      </c>
      <c r="G243" s="4">
        <f t="shared" si="37"/>
        <v>6380.1273148148139</v>
      </c>
      <c r="H243" s="3">
        <v>181852</v>
      </c>
      <c r="I243" s="3">
        <v>365096</v>
      </c>
      <c r="J243" s="3">
        <v>0</v>
      </c>
      <c r="K243" s="4">
        <f t="shared" si="38"/>
        <v>546948</v>
      </c>
      <c r="L243" s="4">
        <f t="shared" si="41"/>
        <v>2104.7685185185182</v>
      </c>
      <c r="M243" s="4">
        <f t="shared" si="42"/>
        <v>4225.6481481481478</v>
      </c>
      <c r="N243" s="4">
        <f t="shared" si="43"/>
        <v>0</v>
      </c>
      <c r="O243" s="4">
        <f t="shared" si="44"/>
        <v>6330.4166666666661</v>
      </c>
      <c r="P243" s="5">
        <f t="shared" si="39"/>
        <v>7.7914821594106407E-3</v>
      </c>
      <c r="Q243" s="7">
        <v>29.577589778580499</v>
      </c>
      <c r="R243" s="7">
        <v>23.92797731671876</v>
      </c>
      <c r="S243" s="3">
        <v>79139.999999996231</v>
      </c>
      <c r="T243" s="6">
        <f t="shared" si="40"/>
        <v>0.14356644891635129</v>
      </c>
    </row>
    <row r="244" spans="1:20" x14ac:dyDescent="0.35">
      <c r="A244" s="2">
        <v>45289</v>
      </c>
      <c r="B244" s="3">
        <v>290128</v>
      </c>
      <c r="C244" s="3">
        <v>259444</v>
      </c>
      <c r="D244" s="3">
        <f t="shared" si="34"/>
        <v>549572</v>
      </c>
      <c r="E244" s="4">
        <f t="shared" si="35"/>
        <v>3357.9629629629626</v>
      </c>
      <c r="F244" s="4">
        <f t="shared" si="36"/>
        <v>3002.8240740740739</v>
      </c>
      <c r="G244" s="4">
        <f t="shared" si="37"/>
        <v>6360.7870370370365</v>
      </c>
      <c r="H244" s="3">
        <v>181600</v>
      </c>
      <c r="I244" s="3">
        <v>363677</v>
      </c>
      <c r="J244" s="3">
        <v>0</v>
      </c>
      <c r="K244" s="4">
        <f t="shared" si="38"/>
        <v>545277</v>
      </c>
      <c r="L244" s="4">
        <f t="shared" si="41"/>
        <v>2101.8518518518517</v>
      </c>
      <c r="M244" s="4">
        <f t="shared" si="42"/>
        <v>4209.2245370370365</v>
      </c>
      <c r="N244" s="4">
        <f t="shared" si="43"/>
        <v>0</v>
      </c>
      <c r="O244" s="4">
        <f t="shared" si="44"/>
        <v>6311.0763888888887</v>
      </c>
      <c r="P244" s="5">
        <f t="shared" si="39"/>
        <v>7.8151725342630266E-3</v>
      </c>
      <c r="Q244" s="7">
        <v>28.343984572096463</v>
      </c>
      <c r="R244" s="7">
        <v>22.764642303465241</v>
      </c>
      <c r="S244" s="3">
        <v>78299.999999992899</v>
      </c>
      <c r="T244" s="6">
        <f t="shared" si="40"/>
        <v>0.14247450743486367</v>
      </c>
    </row>
    <row r="245" spans="1:20" x14ac:dyDescent="0.35">
      <c r="A245" s="2">
        <v>45290</v>
      </c>
      <c r="B245" s="3">
        <v>292928</v>
      </c>
      <c r="C245" s="3">
        <v>256521</v>
      </c>
      <c r="D245" s="3">
        <f t="shared" si="34"/>
        <v>549449</v>
      </c>
      <c r="E245" s="4">
        <f t="shared" si="35"/>
        <v>3390.37037037037</v>
      </c>
      <c r="F245" s="4">
        <f t="shared" si="36"/>
        <v>2968.9930555555552</v>
      </c>
      <c r="G245" s="4">
        <f t="shared" si="37"/>
        <v>6359.3634259259252</v>
      </c>
      <c r="H245" s="3">
        <v>181288</v>
      </c>
      <c r="I245" s="3">
        <v>364709</v>
      </c>
      <c r="J245" s="3">
        <v>0</v>
      </c>
      <c r="K245" s="4">
        <f t="shared" si="38"/>
        <v>545997</v>
      </c>
      <c r="L245" s="4">
        <f t="shared" si="41"/>
        <v>2098.2407407407404</v>
      </c>
      <c r="M245" s="4">
        <f t="shared" si="42"/>
        <v>4221.1689814814808</v>
      </c>
      <c r="N245" s="4">
        <f t="shared" si="43"/>
        <v>0</v>
      </c>
      <c r="O245" s="4">
        <f t="shared" si="44"/>
        <v>6319.4097222222208</v>
      </c>
      <c r="P245" s="5">
        <f t="shared" si="39"/>
        <v>6.2826577170947626E-3</v>
      </c>
      <c r="Q245" s="7">
        <v>28.434089709918105</v>
      </c>
      <c r="R245" s="7">
        <v>23.490951844484201</v>
      </c>
      <c r="S245" s="3">
        <v>77880.000000008295</v>
      </c>
      <c r="T245" s="6">
        <f t="shared" si="40"/>
        <v>0.1417419997124543</v>
      </c>
    </row>
    <row r="246" spans="1:20" x14ac:dyDescent="0.35">
      <c r="A246" s="2">
        <v>45291</v>
      </c>
      <c r="B246" s="3">
        <v>293888</v>
      </c>
      <c r="C246" s="3">
        <v>258930</v>
      </c>
      <c r="D246" s="3">
        <f t="shared" si="34"/>
        <v>552818</v>
      </c>
      <c r="E246" s="4">
        <f t="shared" si="35"/>
        <v>3401.4814814814813</v>
      </c>
      <c r="F246" s="4">
        <f t="shared" si="36"/>
        <v>2996.875</v>
      </c>
      <c r="G246" s="4">
        <f t="shared" si="37"/>
        <v>6398.3564814814818</v>
      </c>
      <c r="H246" s="3">
        <v>181008</v>
      </c>
      <c r="I246" s="3">
        <v>365223</v>
      </c>
      <c r="J246" s="3">
        <v>1</v>
      </c>
      <c r="K246" s="4">
        <f t="shared" si="38"/>
        <v>546232</v>
      </c>
      <c r="L246" s="4">
        <f t="shared" si="41"/>
        <v>2095</v>
      </c>
      <c r="M246" s="4">
        <f t="shared" si="42"/>
        <v>4227.1180555555557</v>
      </c>
      <c r="N246" s="4">
        <f t="shared" si="43"/>
        <v>1.1574074074074073E-2</v>
      </c>
      <c r="O246" s="4">
        <f t="shared" si="44"/>
        <v>6322.1296296296296</v>
      </c>
      <c r="P246" s="5">
        <f t="shared" si="39"/>
        <v>1.1913504987174802E-2</v>
      </c>
      <c r="Q246" s="7">
        <v>44.640529355094792</v>
      </c>
      <c r="R246" s="7">
        <v>21.60694839893057</v>
      </c>
      <c r="S246" s="3">
        <v>79080.000000001746</v>
      </c>
      <c r="T246" s="6">
        <f t="shared" si="40"/>
        <v>0.14304888769902888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51E2-3BEB-4E57-9567-635DFA00B23E}">
  <dimension ref="A1:N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6" sqref="E6"/>
    </sheetView>
  </sheetViews>
  <sheetFormatPr defaultRowHeight="14.5" x14ac:dyDescent="0.35"/>
  <cols>
    <col min="1" max="1" width="8.81640625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9" width="11.7265625" customWidth="1"/>
    <col min="10" max="10" width="12.1796875" bestFit="1" customWidth="1"/>
    <col min="11" max="13" width="10.90625" customWidth="1"/>
    <col min="14" max="14" width="10.1796875" customWidth="1"/>
  </cols>
  <sheetData>
    <row r="1" spans="1:14" ht="43.5" x14ac:dyDescent="0.35">
      <c r="A1" s="9" t="s">
        <v>0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11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0" t="s">
        <v>21</v>
      </c>
      <c r="N1" s="10" t="s">
        <v>20</v>
      </c>
    </row>
    <row r="2" spans="1:14" x14ac:dyDescent="0.35">
      <c r="A2" s="2">
        <v>45748</v>
      </c>
      <c r="B2" s="3"/>
      <c r="C2" s="1"/>
      <c r="D2" s="3">
        <f t="shared" ref="D2:D6" si="0">SUM(B2:C2)</f>
        <v>0</v>
      </c>
      <c r="E2" s="4">
        <f t="shared" ref="E2:F6" si="1">B2/86.4</f>
        <v>0</v>
      </c>
      <c r="F2" s="4">
        <f t="shared" si="1"/>
        <v>0</v>
      </c>
      <c r="G2" s="4">
        <f t="shared" ref="G2:G6" si="2">SUM(E2:F2)</f>
        <v>0</v>
      </c>
      <c r="H2" s="3">
        <v>0</v>
      </c>
      <c r="I2" s="4">
        <f t="shared" ref="I2:I31" si="3">H2/86.4</f>
        <v>0</v>
      </c>
      <c r="J2" s="5" t="e">
        <f t="shared" ref="J2:J6" si="4">(D2-H2)/D2</f>
        <v>#DIV/0!</v>
      </c>
      <c r="K2" s="7"/>
      <c r="L2" s="7"/>
      <c r="M2" s="3"/>
      <c r="N2" s="6" t="e">
        <f t="shared" ref="N2:N31" si="5">M2/D2</f>
        <v>#DIV/0!</v>
      </c>
    </row>
    <row r="3" spans="1:14" x14ac:dyDescent="0.35">
      <c r="A3" s="2">
        <v>45749</v>
      </c>
      <c r="B3" s="3"/>
      <c r="C3" s="1"/>
      <c r="D3" s="3">
        <f t="shared" si="0"/>
        <v>0</v>
      </c>
      <c r="E3" s="4">
        <f t="shared" si="1"/>
        <v>0</v>
      </c>
      <c r="F3" s="4">
        <f t="shared" si="1"/>
        <v>0</v>
      </c>
      <c r="G3" s="4">
        <f t="shared" si="2"/>
        <v>0</v>
      </c>
      <c r="H3" s="3">
        <v>0</v>
      </c>
      <c r="I3" s="4">
        <f t="shared" si="3"/>
        <v>0</v>
      </c>
      <c r="J3" s="5" t="e">
        <f t="shared" si="4"/>
        <v>#DIV/0!</v>
      </c>
      <c r="K3" s="7"/>
      <c r="L3" s="7"/>
      <c r="M3" s="3"/>
      <c r="N3" s="6" t="e">
        <f t="shared" si="5"/>
        <v>#DIV/0!</v>
      </c>
    </row>
    <row r="4" spans="1:14" x14ac:dyDescent="0.35">
      <c r="A4" s="2">
        <v>45750</v>
      </c>
      <c r="B4" s="3"/>
      <c r="C4" s="1"/>
      <c r="D4" s="3">
        <f t="shared" si="0"/>
        <v>0</v>
      </c>
      <c r="E4" s="4">
        <f t="shared" si="1"/>
        <v>0</v>
      </c>
      <c r="F4" s="4">
        <f t="shared" si="1"/>
        <v>0</v>
      </c>
      <c r="G4" s="4">
        <f t="shared" si="2"/>
        <v>0</v>
      </c>
      <c r="H4" s="3">
        <v>0</v>
      </c>
      <c r="I4" s="4">
        <f t="shared" si="3"/>
        <v>0</v>
      </c>
      <c r="J4" s="5" t="e">
        <f t="shared" si="4"/>
        <v>#DIV/0!</v>
      </c>
      <c r="K4" s="7"/>
      <c r="L4" s="7"/>
      <c r="M4" s="3"/>
      <c r="N4" s="6" t="e">
        <f t="shared" si="5"/>
        <v>#DIV/0!</v>
      </c>
    </row>
    <row r="5" spans="1:14" x14ac:dyDescent="0.35">
      <c r="A5" s="2">
        <v>45751</v>
      </c>
      <c r="B5" s="3">
        <v>3510</v>
      </c>
      <c r="C5" s="1"/>
      <c r="D5" s="3">
        <f t="shared" si="0"/>
        <v>3510</v>
      </c>
      <c r="E5" s="4">
        <f t="shared" si="1"/>
        <v>40.625</v>
      </c>
      <c r="F5" s="4">
        <f t="shared" si="1"/>
        <v>0</v>
      </c>
      <c r="G5" s="4">
        <f t="shared" si="2"/>
        <v>40.625</v>
      </c>
      <c r="H5" s="3">
        <v>0</v>
      </c>
      <c r="I5" s="4">
        <f t="shared" si="3"/>
        <v>0</v>
      </c>
      <c r="J5" s="5">
        <f t="shared" si="4"/>
        <v>1</v>
      </c>
      <c r="K5" s="7"/>
      <c r="L5" s="7"/>
      <c r="M5" s="3"/>
      <c r="N5" s="6">
        <f t="shared" si="5"/>
        <v>0</v>
      </c>
    </row>
    <row r="6" spans="1:14" x14ac:dyDescent="0.35">
      <c r="A6" s="2">
        <v>45752</v>
      </c>
      <c r="B6" s="3"/>
      <c r="C6" s="1"/>
      <c r="D6" s="3">
        <f t="shared" si="0"/>
        <v>0</v>
      </c>
      <c r="E6" s="4">
        <f t="shared" si="1"/>
        <v>0</v>
      </c>
      <c r="F6" s="4">
        <f t="shared" si="1"/>
        <v>0</v>
      </c>
      <c r="G6" s="4">
        <f t="shared" si="2"/>
        <v>0</v>
      </c>
      <c r="H6" s="3">
        <v>0</v>
      </c>
      <c r="I6" s="4">
        <f t="shared" si="3"/>
        <v>0</v>
      </c>
      <c r="J6" s="5" t="e">
        <f t="shared" si="4"/>
        <v>#DIV/0!</v>
      </c>
      <c r="K6" s="7"/>
      <c r="L6" s="7"/>
      <c r="M6" s="3"/>
      <c r="N6" s="6" t="e">
        <f t="shared" si="5"/>
        <v>#DIV/0!</v>
      </c>
    </row>
    <row r="7" spans="1:14" x14ac:dyDescent="0.35">
      <c r="A7" s="2">
        <v>45753</v>
      </c>
      <c r="B7" s="3"/>
      <c r="C7" s="1"/>
      <c r="D7" s="3">
        <f t="shared" ref="D7:D31" si="6">SUM(B7:C7)</f>
        <v>0</v>
      </c>
      <c r="E7" s="4">
        <f t="shared" ref="E7:F31" si="7">B7/86.4</f>
        <v>0</v>
      </c>
      <c r="F7" s="4">
        <f t="shared" si="7"/>
        <v>0</v>
      </c>
      <c r="G7" s="4">
        <f t="shared" ref="G7:G31" si="8">SUM(E7:F7)</f>
        <v>0</v>
      </c>
      <c r="H7" s="3">
        <v>0</v>
      </c>
      <c r="I7" s="4">
        <f t="shared" si="3"/>
        <v>0</v>
      </c>
      <c r="J7" s="5" t="e">
        <f t="shared" ref="J7:J31" si="9">(D7-H7)/D7</f>
        <v>#DIV/0!</v>
      </c>
      <c r="K7" s="7"/>
      <c r="L7" s="7"/>
      <c r="M7" s="3"/>
      <c r="N7" s="6" t="e">
        <f t="shared" si="5"/>
        <v>#DIV/0!</v>
      </c>
    </row>
    <row r="8" spans="1:14" x14ac:dyDescent="0.35">
      <c r="A8" s="2">
        <v>45754</v>
      </c>
      <c r="B8" s="3"/>
      <c r="C8" s="1"/>
      <c r="D8" s="3">
        <f t="shared" si="6"/>
        <v>0</v>
      </c>
      <c r="E8" s="4">
        <f t="shared" si="7"/>
        <v>0</v>
      </c>
      <c r="F8" s="4">
        <f t="shared" si="7"/>
        <v>0</v>
      </c>
      <c r="G8" s="4">
        <f t="shared" si="8"/>
        <v>0</v>
      </c>
      <c r="H8" s="3">
        <v>0</v>
      </c>
      <c r="I8" s="4">
        <f t="shared" si="3"/>
        <v>0</v>
      </c>
      <c r="J8" s="5" t="e">
        <f t="shared" si="9"/>
        <v>#DIV/0!</v>
      </c>
      <c r="K8" s="7"/>
      <c r="L8" s="7"/>
      <c r="M8" s="3"/>
      <c r="N8" s="6" t="e">
        <f t="shared" si="5"/>
        <v>#DIV/0!</v>
      </c>
    </row>
    <row r="9" spans="1:14" x14ac:dyDescent="0.35">
      <c r="A9" s="2">
        <v>45755</v>
      </c>
      <c r="B9" s="3"/>
      <c r="C9" s="1"/>
      <c r="D9" s="3">
        <f t="shared" si="6"/>
        <v>0</v>
      </c>
      <c r="E9" s="4">
        <f t="shared" si="7"/>
        <v>0</v>
      </c>
      <c r="F9" s="4">
        <f t="shared" si="7"/>
        <v>0</v>
      </c>
      <c r="G9" s="4">
        <f t="shared" si="8"/>
        <v>0</v>
      </c>
      <c r="H9" s="3">
        <v>0</v>
      </c>
      <c r="I9" s="4">
        <f t="shared" si="3"/>
        <v>0</v>
      </c>
      <c r="J9" s="5" t="e">
        <f t="shared" si="9"/>
        <v>#DIV/0!</v>
      </c>
      <c r="K9" s="7"/>
      <c r="L9" s="7"/>
      <c r="M9" s="3"/>
      <c r="N9" s="6" t="e">
        <f t="shared" si="5"/>
        <v>#DIV/0!</v>
      </c>
    </row>
    <row r="10" spans="1:14" x14ac:dyDescent="0.35">
      <c r="A10" s="2">
        <v>45756</v>
      </c>
      <c r="B10" s="3">
        <v>800</v>
      </c>
      <c r="C10" s="1"/>
      <c r="D10" s="3">
        <f t="shared" si="6"/>
        <v>800</v>
      </c>
      <c r="E10" s="4">
        <f t="shared" si="7"/>
        <v>9.2592592592592595</v>
      </c>
      <c r="F10" s="4">
        <f t="shared" si="7"/>
        <v>0</v>
      </c>
      <c r="G10" s="4">
        <f t="shared" si="8"/>
        <v>9.2592592592592595</v>
      </c>
      <c r="H10" s="3">
        <v>16983.330000000002</v>
      </c>
      <c r="I10" s="4">
        <f t="shared" si="3"/>
        <v>196.56631944444445</v>
      </c>
      <c r="J10" s="5">
        <f t="shared" si="9"/>
        <v>-20.229162500000001</v>
      </c>
      <c r="K10" s="7"/>
      <c r="L10" s="7"/>
      <c r="M10" s="3"/>
      <c r="N10" s="6">
        <f t="shared" si="5"/>
        <v>0</v>
      </c>
    </row>
    <row r="11" spans="1:14" x14ac:dyDescent="0.35">
      <c r="A11" s="2">
        <v>45757</v>
      </c>
      <c r="B11" s="3">
        <v>31581</v>
      </c>
      <c r="C11" s="1"/>
      <c r="D11" s="3">
        <f t="shared" si="6"/>
        <v>31581</v>
      </c>
      <c r="E11" s="4">
        <f t="shared" si="7"/>
        <v>365.52083333333331</v>
      </c>
      <c r="F11" s="4">
        <f t="shared" si="7"/>
        <v>0</v>
      </c>
      <c r="G11" s="4">
        <f t="shared" si="8"/>
        <v>365.52083333333331</v>
      </c>
      <c r="H11" s="3">
        <v>8791.1199999999953</v>
      </c>
      <c r="I11" s="4">
        <f t="shared" si="3"/>
        <v>101.74907407407402</v>
      </c>
      <c r="J11" s="5">
        <f t="shared" si="9"/>
        <v>0.72163262721256471</v>
      </c>
      <c r="K11" s="7">
        <v>176.21987904119567</v>
      </c>
      <c r="L11" s="7">
        <v>46.106203096798708</v>
      </c>
      <c r="M11" s="3">
        <v>19920</v>
      </c>
      <c r="N11" s="6">
        <f t="shared" si="5"/>
        <v>0.63075900066495683</v>
      </c>
    </row>
    <row r="12" spans="1:14" x14ac:dyDescent="0.35">
      <c r="A12" s="2">
        <v>45758</v>
      </c>
      <c r="B12" s="3">
        <v>40430</v>
      </c>
      <c r="C12" s="1"/>
      <c r="D12" s="3">
        <f t="shared" si="6"/>
        <v>40430</v>
      </c>
      <c r="E12" s="4">
        <f t="shared" si="7"/>
        <v>467.93981481481478</v>
      </c>
      <c r="F12" s="4">
        <f t="shared" si="7"/>
        <v>0</v>
      </c>
      <c r="G12" s="4">
        <f t="shared" si="8"/>
        <v>467.93981481481478</v>
      </c>
      <c r="H12" s="3">
        <v>28997.320000000007</v>
      </c>
      <c r="I12" s="4">
        <f t="shared" si="3"/>
        <v>335.61712962962969</v>
      </c>
      <c r="J12" s="5">
        <f t="shared" si="9"/>
        <v>0.28277714568389795</v>
      </c>
      <c r="K12" s="7">
        <v>126.65693791738808</v>
      </c>
      <c r="L12" s="7">
        <v>52.52164234479347</v>
      </c>
      <c r="M12" s="3">
        <v>6120.0000000000073</v>
      </c>
      <c r="N12" s="6">
        <f t="shared" si="5"/>
        <v>0.15137274301261458</v>
      </c>
    </row>
    <row r="13" spans="1:14" x14ac:dyDescent="0.35">
      <c r="A13" s="2">
        <v>45759</v>
      </c>
      <c r="B13" s="3">
        <v>40876</v>
      </c>
      <c r="C13" s="1"/>
      <c r="D13" s="3">
        <f t="shared" si="6"/>
        <v>40876</v>
      </c>
      <c r="E13" s="4">
        <f t="shared" si="7"/>
        <v>473.10185185185185</v>
      </c>
      <c r="F13" s="4">
        <f t="shared" si="7"/>
        <v>0</v>
      </c>
      <c r="G13" s="4">
        <f t="shared" si="8"/>
        <v>473.10185185185185</v>
      </c>
      <c r="H13" s="3">
        <v>35203.94</v>
      </c>
      <c r="I13" s="4">
        <f t="shared" si="3"/>
        <v>407.45300925925926</v>
      </c>
      <c r="J13" s="5">
        <f t="shared" si="9"/>
        <v>0.13876259908014477</v>
      </c>
      <c r="K13" s="7">
        <v>125.15250757649819</v>
      </c>
      <c r="L13" s="7">
        <v>54.863378629387036</v>
      </c>
      <c r="M13" s="3">
        <v>4739.9999999999918</v>
      </c>
      <c r="N13" s="6">
        <f t="shared" si="5"/>
        <v>0.11596046579900166</v>
      </c>
    </row>
    <row r="14" spans="1:14" x14ac:dyDescent="0.35">
      <c r="A14" s="2">
        <v>45760</v>
      </c>
      <c r="B14" s="3">
        <v>19298</v>
      </c>
      <c r="C14" s="1"/>
      <c r="D14" s="3">
        <f t="shared" si="6"/>
        <v>19298</v>
      </c>
      <c r="E14" s="4">
        <f t="shared" si="7"/>
        <v>223.35648148148147</v>
      </c>
      <c r="F14" s="4">
        <f t="shared" si="7"/>
        <v>0</v>
      </c>
      <c r="G14" s="4">
        <f t="shared" si="8"/>
        <v>223.35648148148147</v>
      </c>
      <c r="H14" s="3">
        <v>17929.169999999998</v>
      </c>
      <c r="I14" s="4">
        <f t="shared" si="3"/>
        <v>207.51354166666664</v>
      </c>
      <c r="J14" s="5">
        <f t="shared" si="9"/>
        <v>7.0931184578712905E-2</v>
      </c>
      <c r="K14" s="7">
        <v>161.54627422530831</v>
      </c>
      <c r="L14" s="7">
        <v>135.18551145196395</v>
      </c>
      <c r="M14" s="3">
        <v>3599.9999999999977</v>
      </c>
      <c r="N14" s="6">
        <f t="shared" si="5"/>
        <v>0.18654782879054813</v>
      </c>
    </row>
    <row r="15" spans="1:14" x14ac:dyDescent="0.35">
      <c r="A15" s="2">
        <v>45761</v>
      </c>
      <c r="B15" s="3">
        <v>38436</v>
      </c>
      <c r="C15" s="1"/>
      <c r="D15" s="3">
        <f t="shared" si="6"/>
        <v>38436</v>
      </c>
      <c r="E15" s="4">
        <f t="shared" si="7"/>
        <v>444.86111111111109</v>
      </c>
      <c r="F15" s="4">
        <f t="shared" si="7"/>
        <v>0</v>
      </c>
      <c r="G15" s="4">
        <f t="shared" si="8"/>
        <v>444.86111111111109</v>
      </c>
      <c r="H15" s="3">
        <v>19958.619999999995</v>
      </c>
      <c r="I15" s="4">
        <f t="shared" si="3"/>
        <v>231.00254629629623</v>
      </c>
      <c r="J15" s="5">
        <f t="shared" si="9"/>
        <v>0.48073108544073279</v>
      </c>
      <c r="K15" s="7">
        <v>75.315849724216875</v>
      </c>
      <c r="L15" s="7">
        <v>81.764647726090118</v>
      </c>
      <c r="M15" s="3">
        <v>5220.0000000000036</v>
      </c>
      <c r="N15" s="6">
        <f t="shared" si="5"/>
        <v>0.1358101779581643</v>
      </c>
    </row>
    <row r="16" spans="1:14" x14ac:dyDescent="0.35">
      <c r="A16" s="2">
        <v>45762</v>
      </c>
      <c r="B16" s="3">
        <v>29487</v>
      </c>
      <c r="C16" s="1"/>
      <c r="D16" s="3">
        <f t="shared" si="6"/>
        <v>29487</v>
      </c>
      <c r="E16" s="4">
        <f t="shared" si="7"/>
        <v>341.28472222222217</v>
      </c>
      <c r="F16" s="4">
        <f t="shared" si="7"/>
        <v>0</v>
      </c>
      <c r="G16" s="4">
        <f t="shared" si="8"/>
        <v>341.28472222222217</v>
      </c>
      <c r="H16" s="3">
        <v>44053.53</v>
      </c>
      <c r="I16" s="4">
        <f t="shared" si="3"/>
        <v>509.87881944444439</v>
      </c>
      <c r="J16" s="5">
        <f t="shared" si="9"/>
        <v>-0.49399837216400444</v>
      </c>
      <c r="K16" s="7">
        <v>120.82883982772069</v>
      </c>
      <c r="L16" s="7">
        <v>23.867195713365213</v>
      </c>
      <c r="M16" s="3">
        <v>5820.0000000000009</v>
      </c>
      <c r="N16" s="6">
        <f t="shared" si="5"/>
        <v>0.19737511445721848</v>
      </c>
    </row>
    <row r="17" spans="1:14" x14ac:dyDescent="0.35">
      <c r="A17" s="2">
        <v>45763</v>
      </c>
      <c r="B17" s="3">
        <v>41916</v>
      </c>
      <c r="C17" s="1"/>
      <c r="D17" s="3">
        <f t="shared" si="6"/>
        <v>41916</v>
      </c>
      <c r="E17" s="4">
        <f t="shared" si="7"/>
        <v>485.13888888888886</v>
      </c>
      <c r="F17" s="4">
        <f t="shared" si="7"/>
        <v>0</v>
      </c>
      <c r="G17" s="4">
        <f t="shared" si="8"/>
        <v>485.13888888888886</v>
      </c>
      <c r="H17" s="3">
        <v>42763.110000000015</v>
      </c>
      <c r="I17" s="4">
        <f t="shared" si="3"/>
        <v>494.94340277777792</v>
      </c>
      <c r="J17" s="5">
        <f t="shared" si="9"/>
        <v>-2.0209705124535144E-2</v>
      </c>
      <c r="K17" s="7">
        <v>95.625536787861435</v>
      </c>
      <c r="L17" s="7">
        <v>32.422177688710754</v>
      </c>
      <c r="M17" s="3">
        <v>6240.0000000000027</v>
      </c>
      <c r="N17" s="6">
        <f t="shared" si="5"/>
        <v>0.1488691669052391</v>
      </c>
    </row>
    <row r="18" spans="1:14" x14ac:dyDescent="0.35">
      <c r="A18" s="2">
        <v>45764</v>
      </c>
      <c r="B18" s="3">
        <v>35586</v>
      </c>
      <c r="C18" s="1"/>
      <c r="D18" s="3">
        <f t="shared" si="6"/>
        <v>35586</v>
      </c>
      <c r="E18" s="4">
        <f t="shared" si="7"/>
        <v>411.875</v>
      </c>
      <c r="F18" s="4">
        <f t="shared" si="7"/>
        <v>0</v>
      </c>
      <c r="G18" s="4">
        <f t="shared" si="8"/>
        <v>411.875</v>
      </c>
      <c r="H18" s="3">
        <v>40484.459999999963</v>
      </c>
      <c r="I18" s="4">
        <f t="shared" si="3"/>
        <v>468.57013888888844</v>
      </c>
      <c r="J18" s="5">
        <f t="shared" si="9"/>
        <v>-0.13765132355420567</v>
      </c>
      <c r="K18" s="7">
        <v>200.19937615916371</v>
      </c>
      <c r="L18" s="7">
        <v>40.917214634968808</v>
      </c>
      <c r="M18" s="3">
        <v>7140.0000000000018</v>
      </c>
      <c r="N18" s="6">
        <f t="shared" si="5"/>
        <v>0.2006407013994268</v>
      </c>
    </row>
    <row r="19" spans="1:14" x14ac:dyDescent="0.35">
      <c r="A19" s="2">
        <v>45765</v>
      </c>
      <c r="B19" s="3">
        <v>48549</v>
      </c>
      <c r="C19" s="1"/>
      <c r="D19" s="3">
        <f t="shared" si="6"/>
        <v>48549</v>
      </c>
      <c r="E19" s="4">
        <f t="shared" si="7"/>
        <v>561.90972222222217</v>
      </c>
      <c r="F19" s="4">
        <f t="shared" si="7"/>
        <v>0</v>
      </c>
      <c r="G19" s="4">
        <f t="shared" si="8"/>
        <v>561.90972222222217</v>
      </c>
      <c r="H19" s="3">
        <v>52475.090000000026</v>
      </c>
      <c r="I19" s="4">
        <f t="shared" si="3"/>
        <v>607.35057870370395</v>
      </c>
      <c r="J19" s="5">
        <f t="shared" si="9"/>
        <v>-8.0868606974397531E-2</v>
      </c>
      <c r="K19" s="7">
        <v>182.79310038105831</v>
      </c>
      <c r="L19" s="7">
        <v>31.491565222764631</v>
      </c>
      <c r="M19" s="3">
        <v>5699.9999999999936</v>
      </c>
      <c r="N19" s="6">
        <f t="shared" si="5"/>
        <v>0.11740715565717097</v>
      </c>
    </row>
    <row r="20" spans="1:14" x14ac:dyDescent="0.35">
      <c r="A20" s="2">
        <v>45766</v>
      </c>
      <c r="B20" s="3">
        <v>50029</v>
      </c>
      <c r="C20" s="1"/>
      <c r="D20" s="3">
        <f t="shared" si="6"/>
        <v>50029</v>
      </c>
      <c r="E20" s="4">
        <f t="shared" si="7"/>
        <v>579.03935185185185</v>
      </c>
      <c r="F20" s="4">
        <f t="shared" si="7"/>
        <v>0</v>
      </c>
      <c r="G20" s="4">
        <f t="shared" si="8"/>
        <v>579.03935185185185</v>
      </c>
      <c r="H20" s="3">
        <v>51374.69</v>
      </c>
      <c r="I20" s="4">
        <f t="shared" si="3"/>
        <v>594.61446759259263</v>
      </c>
      <c r="J20" s="5">
        <f t="shared" si="9"/>
        <v>-2.6898199044554205E-2</v>
      </c>
      <c r="K20" s="7">
        <v>190.07166110855704</v>
      </c>
      <c r="L20" s="7">
        <v>28.619640608447099</v>
      </c>
      <c r="M20" s="3">
        <v>6240.0000000000127</v>
      </c>
      <c r="N20" s="6">
        <f t="shared" si="5"/>
        <v>0.12472765795838439</v>
      </c>
    </row>
    <row r="21" spans="1:14" x14ac:dyDescent="0.35">
      <c r="A21" s="2">
        <v>45767</v>
      </c>
      <c r="B21" s="3">
        <v>47108</v>
      </c>
      <c r="C21" s="1"/>
      <c r="D21" s="3">
        <f t="shared" si="6"/>
        <v>47108</v>
      </c>
      <c r="E21" s="4">
        <f t="shared" si="7"/>
        <v>545.23148148148141</v>
      </c>
      <c r="F21" s="4">
        <f t="shared" si="7"/>
        <v>0</v>
      </c>
      <c r="G21" s="4">
        <f t="shared" si="8"/>
        <v>545.23148148148141</v>
      </c>
      <c r="H21" s="3">
        <v>43187.900000000023</v>
      </c>
      <c r="I21" s="4">
        <f t="shared" si="3"/>
        <v>499.85995370370392</v>
      </c>
      <c r="J21" s="5">
        <f t="shared" si="9"/>
        <v>8.3215165152415227E-2</v>
      </c>
      <c r="K21" s="7">
        <v>188.7413979281651</v>
      </c>
      <c r="L21" s="7">
        <v>29.363929693470322</v>
      </c>
      <c r="M21" s="3">
        <v>6359.9999999999945</v>
      </c>
      <c r="N21" s="6">
        <f t="shared" si="5"/>
        <v>0.13500891568311102</v>
      </c>
    </row>
    <row r="22" spans="1:14" x14ac:dyDescent="0.35">
      <c r="A22" s="2">
        <v>45768</v>
      </c>
      <c r="B22" s="3">
        <v>28963</v>
      </c>
      <c r="C22" s="1"/>
      <c r="D22" s="3">
        <f t="shared" si="6"/>
        <v>28963</v>
      </c>
      <c r="E22" s="4">
        <f t="shared" si="7"/>
        <v>335.21990740740739</v>
      </c>
      <c r="F22" s="4">
        <f t="shared" si="7"/>
        <v>0</v>
      </c>
      <c r="G22" s="4">
        <f t="shared" si="8"/>
        <v>335.21990740740739</v>
      </c>
      <c r="H22" s="3">
        <v>25079.469999999972</v>
      </c>
      <c r="I22" s="4">
        <f t="shared" si="3"/>
        <v>290.2716435185182</v>
      </c>
      <c r="J22" s="5">
        <f t="shared" si="9"/>
        <v>0.13408590270345019</v>
      </c>
      <c r="K22" s="7">
        <v>149.64454649034977</v>
      </c>
      <c r="L22" s="7">
        <v>33.515865069226251</v>
      </c>
      <c r="M22" s="3">
        <v>5880</v>
      </c>
      <c r="N22" s="6">
        <f t="shared" si="5"/>
        <v>0.20301764319994475</v>
      </c>
    </row>
    <row r="23" spans="1:14" x14ac:dyDescent="0.35">
      <c r="A23" s="2">
        <v>45769</v>
      </c>
      <c r="B23" s="3">
        <v>24832</v>
      </c>
      <c r="C23" s="1"/>
      <c r="D23" s="3">
        <f t="shared" si="6"/>
        <v>24832</v>
      </c>
      <c r="E23" s="4">
        <f t="shared" si="7"/>
        <v>287.40740740740739</v>
      </c>
      <c r="F23" s="4">
        <f t="shared" si="7"/>
        <v>0</v>
      </c>
      <c r="G23" s="4">
        <f t="shared" si="8"/>
        <v>287.40740740740739</v>
      </c>
      <c r="H23" s="3">
        <v>26036.530000000028</v>
      </c>
      <c r="I23" s="4">
        <f t="shared" si="3"/>
        <v>301.34872685185218</v>
      </c>
      <c r="J23" s="5">
        <f t="shared" si="9"/>
        <v>-4.8507168170104219E-2</v>
      </c>
      <c r="K23" s="7">
        <v>293.58408505154637</v>
      </c>
      <c r="L23" s="7">
        <v>35.182345360824741</v>
      </c>
      <c r="M23" s="3">
        <v>5819.9999999999936</v>
      </c>
      <c r="N23" s="6">
        <f t="shared" si="5"/>
        <v>0.23437499999999975</v>
      </c>
    </row>
    <row r="24" spans="1:14" x14ac:dyDescent="0.35">
      <c r="A24" s="2">
        <v>45770</v>
      </c>
      <c r="B24" s="3">
        <v>27326</v>
      </c>
      <c r="C24" s="1"/>
      <c r="D24" s="3">
        <f t="shared" si="6"/>
        <v>27326</v>
      </c>
      <c r="E24" s="4">
        <f t="shared" si="7"/>
        <v>316.27314814814815</v>
      </c>
      <c r="F24" s="4">
        <f t="shared" si="7"/>
        <v>0</v>
      </c>
      <c r="G24" s="4">
        <f t="shared" si="8"/>
        <v>316.27314814814815</v>
      </c>
      <c r="H24" s="3">
        <v>25807.719999999972</v>
      </c>
      <c r="I24" s="4">
        <f t="shared" si="3"/>
        <v>298.7004629629626</v>
      </c>
      <c r="J24" s="5">
        <f t="shared" si="9"/>
        <v>5.5561736075533483E-2</v>
      </c>
      <c r="K24" s="7">
        <v>80.327343921539921</v>
      </c>
      <c r="L24" s="7">
        <v>26.198711849520603</v>
      </c>
      <c r="M24" s="3">
        <v>5880.00000000001</v>
      </c>
      <c r="N24" s="6">
        <f t="shared" si="5"/>
        <v>0.21517968235380261</v>
      </c>
    </row>
    <row r="25" spans="1:14" x14ac:dyDescent="0.35">
      <c r="A25" s="2">
        <v>45771</v>
      </c>
      <c r="B25" s="3">
        <v>27276</v>
      </c>
      <c r="C25" s="1"/>
      <c r="D25" s="3">
        <f t="shared" si="6"/>
        <v>27276</v>
      </c>
      <c r="E25" s="4">
        <f t="shared" si="7"/>
        <v>315.6944444444444</v>
      </c>
      <c r="F25" s="4">
        <f t="shared" si="7"/>
        <v>0</v>
      </c>
      <c r="G25" s="4">
        <f t="shared" si="8"/>
        <v>315.6944444444444</v>
      </c>
      <c r="H25" s="3">
        <v>26263</v>
      </c>
      <c r="I25" s="4">
        <f t="shared" si="3"/>
        <v>303.96990740740739</v>
      </c>
      <c r="J25" s="5">
        <f t="shared" si="9"/>
        <v>3.7138876668133154E-2</v>
      </c>
      <c r="K25" s="7">
        <v>72.326954098841469</v>
      </c>
      <c r="L25" s="7">
        <v>31.140196509752162</v>
      </c>
      <c r="M25" s="3">
        <v>5579.9999999999936</v>
      </c>
      <c r="N25" s="6">
        <f t="shared" si="5"/>
        <v>0.20457545094588625</v>
      </c>
    </row>
    <row r="26" spans="1:14" x14ac:dyDescent="0.35">
      <c r="A26" s="2">
        <v>45772</v>
      </c>
      <c r="B26" s="3">
        <v>31459</v>
      </c>
      <c r="C26" s="1"/>
      <c r="D26" s="3">
        <f t="shared" si="6"/>
        <v>31459</v>
      </c>
      <c r="E26" s="4">
        <f t="shared" si="7"/>
        <v>364.10879629629625</v>
      </c>
      <c r="F26" s="4">
        <f t="shared" si="7"/>
        <v>0</v>
      </c>
      <c r="G26" s="4">
        <f t="shared" si="8"/>
        <v>364.10879629629625</v>
      </c>
      <c r="H26" s="3">
        <v>21485</v>
      </c>
      <c r="I26" s="4">
        <f t="shared" si="3"/>
        <v>248.66898148148147</v>
      </c>
      <c r="J26" s="5">
        <f t="shared" si="9"/>
        <v>0.31704758574652725</v>
      </c>
      <c r="K26" s="7">
        <v>84.793858673193682</v>
      </c>
      <c r="L26" s="7">
        <v>15.81404367589561</v>
      </c>
      <c r="M26" s="3">
        <v>6779.9999999999891</v>
      </c>
      <c r="N26" s="6">
        <f t="shared" si="5"/>
        <v>0.21551861152611301</v>
      </c>
    </row>
    <row r="27" spans="1:14" x14ac:dyDescent="0.35">
      <c r="A27" s="2">
        <v>45773</v>
      </c>
      <c r="B27" s="3">
        <v>37489</v>
      </c>
      <c r="C27" s="1"/>
      <c r="D27" s="3">
        <f t="shared" si="6"/>
        <v>37489</v>
      </c>
      <c r="E27" s="4">
        <f t="shared" si="7"/>
        <v>433.90046296296293</v>
      </c>
      <c r="F27" s="4">
        <f t="shared" si="7"/>
        <v>0</v>
      </c>
      <c r="G27" s="4">
        <f t="shared" si="8"/>
        <v>433.90046296296293</v>
      </c>
      <c r="H27" s="3">
        <v>20760</v>
      </c>
      <c r="I27" s="4">
        <f t="shared" si="3"/>
        <v>240.27777777777777</v>
      </c>
      <c r="J27" s="5">
        <f t="shared" si="9"/>
        <v>0.44623756301848544</v>
      </c>
      <c r="K27" s="7">
        <v>57.123289498252824</v>
      </c>
      <c r="L27" s="7">
        <v>33.661500706874016</v>
      </c>
      <c r="M27" s="3">
        <v>4440.0000000000173</v>
      </c>
      <c r="N27" s="6">
        <f t="shared" si="5"/>
        <v>0.1184347408573186</v>
      </c>
    </row>
    <row r="28" spans="1:14" x14ac:dyDescent="0.35">
      <c r="A28" s="2">
        <v>45774</v>
      </c>
      <c r="B28" s="3">
        <v>25823</v>
      </c>
      <c r="C28" s="1"/>
      <c r="D28" s="3">
        <f t="shared" si="6"/>
        <v>25823</v>
      </c>
      <c r="E28" s="4">
        <f t="shared" si="7"/>
        <v>298.87731481481478</v>
      </c>
      <c r="F28" s="4">
        <f t="shared" si="7"/>
        <v>0</v>
      </c>
      <c r="G28" s="4">
        <f t="shared" si="8"/>
        <v>298.87731481481478</v>
      </c>
      <c r="H28" s="3">
        <v>26050</v>
      </c>
      <c r="I28" s="4">
        <f t="shared" si="3"/>
        <v>301.50462962962962</v>
      </c>
      <c r="J28" s="5">
        <f t="shared" si="9"/>
        <v>-8.7906130194013096E-3</v>
      </c>
      <c r="K28" s="7">
        <v>91.782132207721801</v>
      </c>
      <c r="L28" s="7">
        <v>34.771947488672886</v>
      </c>
      <c r="M28" s="3">
        <v>4499.9999999999891</v>
      </c>
      <c r="N28" s="6">
        <f t="shared" si="5"/>
        <v>0.17426325368857179</v>
      </c>
    </row>
    <row r="29" spans="1:14" x14ac:dyDescent="0.35">
      <c r="A29" s="2">
        <v>45775</v>
      </c>
      <c r="B29" s="3">
        <v>27592</v>
      </c>
      <c r="C29" s="1"/>
      <c r="D29" s="3">
        <f t="shared" si="6"/>
        <v>27592</v>
      </c>
      <c r="E29" s="4">
        <f t="shared" si="7"/>
        <v>319.35185185185185</v>
      </c>
      <c r="F29" s="4">
        <f t="shared" si="7"/>
        <v>0</v>
      </c>
      <c r="G29" s="4">
        <f t="shared" si="8"/>
        <v>319.35185185185185</v>
      </c>
      <c r="H29" s="3">
        <v>25131</v>
      </c>
      <c r="I29" s="4">
        <f t="shared" si="3"/>
        <v>290.86805555555554</v>
      </c>
      <c r="J29" s="5">
        <f t="shared" si="9"/>
        <v>8.9192519570890111E-2</v>
      </c>
      <c r="K29" s="7">
        <v>86.720244998550299</v>
      </c>
      <c r="L29" s="7">
        <v>31.663090750942303</v>
      </c>
      <c r="M29" s="3">
        <v>8100.0000000000082</v>
      </c>
      <c r="N29" s="6">
        <f t="shared" si="5"/>
        <v>0.29356335169614411</v>
      </c>
    </row>
    <row r="30" spans="1:14" x14ac:dyDescent="0.35">
      <c r="A30" s="2">
        <v>45776</v>
      </c>
      <c r="B30" s="3">
        <v>38504</v>
      </c>
      <c r="C30" s="1"/>
      <c r="D30" s="3">
        <f t="shared" si="6"/>
        <v>38504</v>
      </c>
      <c r="E30" s="4">
        <f t="shared" si="7"/>
        <v>445.6481481481481</v>
      </c>
      <c r="F30" s="4">
        <f t="shared" si="7"/>
        <v>0</v>
      </c>
      <c r="G30" s="4">
        <f t="shared" si="8"/>
        <v>445.6481481481481</v>
      </c>
      <c r="H30" s="3">
        <v>25784</v>
      </c>
      <c r="I30" s="4">
        <f t="shared" si="3"/>
        <v>298.42592592592592</v>
      </c>
      <c r="J30" s="5">
        <f t="shared" si="9"/>
        <v>0.33035528776231043</v>
      </c>
      <c r="K30" s="7">
        <v>67.753739871182219</v>
      </c>
      <c r="L30" s="7">
        <v>18.277893205900686</v>
      </c>
      <c r="M30" s="3">
        <v>9419.9999999999964</v>
      </c>
      <c r="N30" s="6">
        <f t="shared" si="5"/>
        <v>0.24464990650322035</v>
      </c>
    </row>
    <row r="31" spans="1:14" x14ac:dyDescent="0.35">
      <c r="A31" s="2">
        <v>45777</v>
      </c>
      <c r="B31" s="3">
        <v>26772</v>
      </c>
      <c r="C31" s="1"/>
      <c r="D31" s="3">
        <f t="shared" si="6"/>
        <v>26772</v>
      </c>
      <c r="E31" s="4">
        <f t="shared" si="7"/>
        <v>309.86111111111109</v>
      </c>
      <c r="F31" s="4">
        <f t="shared" si="7"/>
        <v>0</v>
      </c>
      <c r="G31" s="4">
        <f t="shared" si="8"/>
        <v>309.86111111111109</v>
      </c>
      <c r="H31" s="3">
        <v>25629</v>
      </c>
      <c r="I31" s="4">
        <f t="shared" si="3"/>
        <v>296.6319444444444</v>
      </c>
      <c r="J31" s="5">
        <f t="shared" si="9"/>
        <v>4.2693859255939041E-2</v>
      </c>
      <c r="K31" s="7">
        <v>72.171111609143878</v>
      </c>
      <c r="L31" s="7">
        <v>26.287613924996265</v>
      </c>
      <c r="M31" s="3">
        <v>9480</v>
      </c>
      <c r="N31" s="6">
        <f t="shared" si="5"/>
        <v>0.35410129986553113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6D84F-5160-4866-8811-3B8483592781}">
  <dimension ref="A1:J246"/>
  <sheetViews>
    <sheetView workbookViewId="0">
      <pane xSplit="1" ySplit="1" topLeftCell="B232" activePane="bottomRight" state="frozen"/>
      <selection pane="topRight" activeCell="B1" sqref="B1"/>
      <selection pane="bottomLeft" activeCell="A2" sqref="A2"/>
      <selection pane="bottomRight" sqref="A1:J1"/>
    </sheetView>
  </sheetViews>
  <sheetFormatPr defaultRowHeight="14.5" x14ac:dyDescent="0.35"/>
  <cols>
    <col min="1" max="1" width="8.81640625" bestFit="1" customWidth="1"/>
    <col min="2" max="2" width="11.7265625" customWidth="1"/>
    <col min="3" max="3" width="11.453125" customWidth="1"/>
    <col min="4" max="5" width="11.7265625" customWidth="1"/>
    <col min="6" max="6" width="12.1796875" bestFit="1" customWidth="1"/>
    <col min="7" max="9" width="10.90625" customWidth="1"/>
    <col min="10" max="10" width="10.1796875" customWidth="1"/>
  </cols>
  <sheetData>
    <row r="1" spans="1:10" ht="43.5" x14ac:dyDescent="0.35">
      <c r="A1" s="9" t="s">
        <v>0</v>
      </c>
      <c r="B1" s="10" t="s">
        <v>27</v>
      </c>
      <c r="C1" s="10" t="s">
        <v>28</v>
      </c>
      <c r="D1" s="10" t="s">
        <v>29</v>
      </c>
      <c r="E1" s="10" t="s">
        <v>30</v>
      </c>
      <c r="F1" s="10" t="s">
        <v>3</v>
      </c>
      <c r="G1" s="10" t="s">
        <v>4</v>
      </c>
      <c r="H1" s="10" t="s">
        <v>5</v>
      </c>
      <c r="I1" s="10" t="s">
        <v>21</v>
      </c>
      <c r="J1" s="10" t="s">
        <v>20</v>
      </c>
    </row>
    <row r="2" spans="1:10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2">
        <v>45048</v>
      </c>
      <c r="B3" s="3">
        <v>130860</v>
      </c>
      <c r="C3" s="4">
        <f>B3/3.6/8</f>
        <v>4543.75</v>
      </c>
      <c r="D3" s="4">
        <v>113802</v>
      </c>
      <c r="E3" s="4">
        <f>D3/3.6/8</f>
        <v>3951.458333333333</v>
      </c>
      <c r="F3" s="5">
        <f>(B3-D3)/B3</f>
        <v>0.1303530490600642</v>
      </c>
      <c r="G3" s="1"/>
      <c r="H3" s="1"/>
      <c r="I3" s="3"/>
      <c r="J3" s="6"/>
    </row>
    <row r="4" spans="1:10" x14ac:dyDescent="0.35">
      <c r="A4" s="2">
        <v>45049</v>
      </c>
      <c r="B4" s="3">
        <v>390860</v>
      </c>
      <c r="C4" s="4">
        <f>B4/86.4</f>
        <v>4523.8425925925922</v>
      </c>
      <c r="D4" s="4">
        <v>393088</v>
      </c>
      <c r="E4" s="4">
        <f>D4/86.4</f>
        <v>4549.6296296296296</v>
      </c>
      <c r="F4" s="5">
        <f t="shared" ref="F4:F67" si="0">(B4-D4)/B4</f>
        <v>-5.7002507291613368E-3</v>
      </c>
      <c r="G4" s="7">
        <v>17.215882924832421</v>
      </c>
      <c r="H4" s="7">
        <v>5.9961469579900735</v>
      </c>
      <c r="I4" s="3">
        <v>23160.000000003492</v>
      </c>
      <c r="J4" s="6">
        <f t="shared" ref="J4:J67" si="1">I4/B4</f>
        <v>5.9253952821991231E-2</v>
      </c>
    </row>
    <row r="5" spans="1:10" x14ac:dyDescent="0.35">
      <c r="A5" s="2">
        <v>45050</v>
      </c>
      <c r="B5" s="3">
        <v>394550</v>
      </c>
      <c r="C5" s="4">
        <f t="shared" ref="C5:C68" si="2">B5/86.4</f>
        <v>4566.5509259259252</v>
      </c>
      <c r="D5" s="4">
        <v>392608.00000000012</v>
      </c>
      <c r="E5" s="4">
        <f t="shared" ref="E5:E68" si="3">D5/86.4</f>
        <v>4544.0740740740748</v>
      </c>
      <c r="F5" s="5">
        <f t="shared" si="0"/>
        <v>4.9220631098717106E-3</v>
      </c>
      <c r="G5" s="7">
        <v>62.193435559498162</v>
      </c>
      <c r="H5" s="7">
        <v>23.559401850209099</v>
      </c>
      <c r="I5" s="3">
        <v>78480.00000000502</v>
      </c>
      <c r="J5" s="6">
        <f t="shared" si="1"/>
        <v>0.19891015080472696</v>
      </c>
    </row>
    <row r="6" spans="1:10" x14ac:dyDescent="0.35">
      <c r="A6" s="2">
        <v>45051</v>
      </c>
      <c r="B6" s="3">
        <v>390890</v>
      </c>
      <c r="C6" s="4">
        <f t="shared" si="2"/>
        <v>4524.1898148148148</v>
      </c>
      <c r="D6" s="4">
        <v>391700</v>
      </c>
      <c r="E6" s="4">
        <f t="shared" si="3"/>
        <v>4533.5648148148148</v>
      </c>
      <c r="F6" s="5">
        <f t="shared" si="0"/>
        <v>-2.072194223438819E-3</v>
      </c>
      <c r="G6" s="7">
        <v>56.755617309217428</v>
      </c>
      <c r="H6" s="7">
        <v>25.141333879096422</v>
      </c>
      <c r="I6" s="3">
        <v>74280.000000006112</v>
      </c>
      <c r="J6" s="6">
        <f t="shared" si="1"/>
        <v>0.19002788508277549</v>
      </c>
    </row>
    <row r="7" spans="1:10" x14ac:dyDescent="0.35">
      <c r="A7" s="2">
        <v>45052</v>
      </c>
      <c r="B7" s="3">
        <v>392360</v>
      </c>
      <c r="C7" s="4">
        <f t="shared" si="2"/>
        <v>4541.2037037037035</v>
      </c>
      <c r="D7" s="4">
        <v>391144</v>
      </c>
      <c r="E7" s="4">
        <f t="shared" si="3"/>
        <v>4527.1296296296296</v>
      </c>
      <c r="F7" s="5">
        <f t="shared" si="0"/>
        <v>3.0991946171882966E-3</v>
      </c>
      <c r="G7" s="7">
        <v>64.02691405851769</v>
      </c>
      <c r="H7" s="7">
        <v>23.113778162911611</v>
      </c>
      <c r="I7" s="3">
        <v>91200.000000004366</v>
      </c>
      <c r="J7" s="6">
        <f t="shared" si="1"/>
        <v>0.23243959628913335</v>
      </c>
    </row>
    <row r="8" spans="1:10" x14ac:dyDescent="0.35">
      <c r="A8" s="2">
        <v>45053</v>
      </c>
      <c r="B8" s="3">
        <v>392800</v>
      </c>
      <c r="C8" s="4">
        <f t="shared" si="2"/>
        <v>4546.2962962962956</v>
      </c>
      <c r="D8" s="4">
        <v>390836.00000000012</v>
      </c>
      <c r="E8" s="4">
        <f t="shared" si="3"/>
        <v>4523.5648148148157</v>
      </c>
      <c r="F8" s="5">
        <f t="shared" si="0"/>
        <v>4.9999999999997035E-3</v>
      </c>
      <c r="G8" s="7">
        <v>55.412081211812627</v>
      </c>
      <c r="H8" s="7">
        <v>23.203182281059064</v>
      </c>
      <c r="I8" s="3">
        <v>67679.999999976644</v>
      </c>
      <c r="J8" s="6">
        <f t="shared" si="1"/>
        <v>0.172301425661855</v>
      </c>
    </row>
    <row r="9" spans="1:10" x14ac:dyDescent="0.35">
      <c r="A9" s="2">
        <v>45054</v>
      </c>
      <c r="B9" s="3">
        <v>396130</v>
      </c>
      <c r="C9" s="4">
        <f t="shared" si="2"/>
        <v>4584.8379629629626</v>
      </c>
      <c r="D9" s="4">
        <v>393317.00000000006</v>
      </c>
      <c r="E9" s="4">
        <f t="shared" si="3"/>
        <v>4552.2800925925931</v>
      </c>
      <c r="F9" s="5">
        <f t="shared" si="0"/>
        <v>7.1012041501525803E-3</v>
      </c>
      <c r="G9" s="7">
        <v>50.529098275818541</v>
      </c>
      <c r="H9" s="7">
        <v>22.808057960770455</v>
      </c>
      <c r="I9" s="3">
        <v>77040.000000017244</v>
      </c>
      <c r="J9" s="6">
        <f t="shared" si="1"/>
        <v>0.19448160957265859</v>
      </c>
    </row>
    <row r="10" spans="1:10" x14ac:dyDescent="0.35">
      <c r="A10" s="2">
        <v>45055</v>
      </c>
      <c r="B10" s="3">
        <v>393880</v>
      </c>
      <c r="C10" s="4">
        <f t="shared" si="2"/>
        <v>4558.7962962962956</v>
      </c>
      <c r="D10" s="4">
        <v>392725.00000000006</v>
      </c>
      <c r="E10" s="4">
        <f t="shared" si="3"/>
        <v>4545.4282407407409</v>
      </c>
      <c r="F10" s="5">
        <f t="shared" si="0"/>
        <v>2.9323651873665629E-3</v>
      </c>
      <c r="G10" s="7">
        <v>69.645298060322943</v>
      </c>
      <c r="H10" s="7">
        <v>22.794622727734335</v>
      </c>
      <c r="I10" s="3">
        <v>77880.000000002838</v>
      </c>
      <c r="J10" s="6">
        <f t="shared" si="1"/>
        <v>0.19772519549101969</v>
      </c>
    </row>
    <row r="11" spans="1:10" x14ac:dyDescent="0.35">
      <c r="A11" s="2">
        <v>45056</v>
      </c>
      <c r="B11" s="3">
        <v>392650</v>
      </c>
      <c r="C11" s="4">
        <f t="shared" si="2"/>
        <v>4544.5601851851852</v>
      </c>
      <c r="D11" s="4">
        <v>393138</v>
      </c>
      <c r="E11" s="4">
        <f t="shared" si="3"/>
        <v>4550.208333333333</v>
      </c>
      <c r="F11" s="5">
        <f t="shared" si="0"/>
        <v>-1.2428371323061251E-3</v>
      </c>
      <c r="G11" s="7">
        <v>69.863466191264479</v>
      </c>
      <c r="H11" s="7">
        <v>24.567283840570482</v>
      </c>
      <c r="I11" s="3">
        <v>77639.999999997599</v>
      </c>
      <c r="J11" s="6">
        <f t="shared" si="1"/>
        <v>0.19773335031197656</v>
      </c>
    </row>
    <row r="12" spans="1:10" x14ac:dyDescent="0.35">
      <c r="A12" s="2">
        <v>45057</v>
      </c>
      <c r="B12" s="3">
        <v>392390</v>
      </c>
      <c r="C12" s="4">
        <f t="shared" si="2"/>
        <v>4541.5509259259252</v>
      </c>
      <c r="D12" s="4">
        <v>394202</v>
      </c>
      <c r="E12" s="4">
        <f t="shared" si="3"/>
        <v>4562.5231481481478</v>
      </c>
      <c r="F12" s="5">
        <f t="shared" si="0"/>
        <v>-4.6178546853895362E-3</v>
      </c>
      <c r="G12" s="7">
        <v>64.822294146130119</v>
      </c>
      <c r="H12" s="7">
        <v>22.563786029205637</v>
      </c>
      <c r="I12" s="3">
        <v>77639.999999992142</v>
      </c>
      <c r="J12" s="6">
        <f t="shared" si="1"/>
        <v>0.19786436963223361</v>
      </c>
    </row>
    <row r="13" spans="1:10" x14ac:dyDescent="0.35">
      <c r="A13" s="2">
        <v>45058</v>
      </c>
      <c r="B13" s="3">
        <v>395040</v>
      </c>
      <c r="C13" s="4">
        <f t="shared" si="2"/>
        <v>4572.2222222222217</v>
      </c>
      <c r="D13" s="4">
        <v>393203.99999999988</v>
      </c>
      <c r="E13" s="4">
        <f t="shared" si="3"/>
        <v>4550.9722222222208</v>
      </c>
      <c r="F13" s="5">
        <f t="shared" si="0"/>
        <v>4.6476306196843774E-3</v>
      </c>
      <c r="G13" s="7">
        <v>62.116292021061156</v>
      </c>
      <c r="H13" s="7">
        <v>22.039839003645202</v>
      </c>
      <c r="I13" s="3">
        <v>78000.000000005457</v>
      </c>
      <c r="J13" s="6">
        <f t="shared" si="1"/>
        <v>0.1974483596597951</v>
      </c>
    </row>
    <row r="14" spans="1:10" x14ac:dyDescent="0.35">
      <c r="A14" s="2">
        <v>45059</v>
      </c>
      <c r="B14" s="3">
        <v>394260</v>
      </c>
      <c r="C14" s="4">
        <f t="shared" si="2"/>
        <v>4563.1944444444443</v>
      </c>
      <c r="D14" s="4">
        <v>393346.00000000006</v>
      </c>
      <c r="E14" s="4">
        <f t="shared" si="3"/>
        <v>4552.6157407407409</v>
      </c>
      <c r="F14" s="5">
        <f t="shared" si="0"/>
        <v>2.3182671333636224E-3</v>
      </c>
      <c r="G14" s="7">
        <v>48.812813879166029</v>
      </c>
      <c r="H14" s="7">
        <v>22.57163293258256</v>
      </c>
      <c r="I14" s="3">
        <v>74400.000000008731</v>
      </c>
      <c r="J14" s="6">
        <f t="shared" si="1"/>
        <v>0.18870795921475353</v>
      </c>
    </row>
    <row r="15" spans="1:10" x14ac:dyDescent="0.35">
      <c r="A15" s="2">
        <v>45060</v>
      </c>
      <c r="B15" s="3">
        <v>395520</v>
      </c>
      <c r="C15" s="4">
        <f t="shared" si="2"/>
        <v>4577.7777777777774</v>
      </c>
      <c r="D15" s="4">
        <v>392298.00000000006</v>
      </c>
      <c r="E15" s="4">
        <f t="shared" si="3"/>
        <v>4540.4861111111113</v>
      </c>
      <c r="F15" s="5">
        <f t="shared" si="0"/>
        <v>8.146237864077522E-3</v>
      </c>
      <c r="G15" s="7">
        <v>51.549529733009706</v>
      </c>
      <c r="H15" s="7">
        <v>24.446268203883495</v>
      </c>
      <c r="I15" s="3">
        <v>77639.999999986685</v>
      </c>
      <c r="J15" s="6">
        <f t="shared" si="1"/>
        <v>0.19629854368928673</v>
      </c>
    </row>
    <row r="16" spans="1:10" x14ac:dyDescent="0.35">
      <c r="A16" s="2">
        <v>45061</v>
      </c>
      <c r="B16" s="3">
        <v>395740</v>
      </c>
      <c r="C16" s="4">
        <f t="shared" si="2"/>
        <v>4580.3240740740739</v>
      </c>
      <c r="D16" s="4">
        <v>393528</v>
      </c>
      <c r="E16" s="4">
        <f t="shared" si="3"/>
        <v>4554.7222222222217</v>
      </c>
      <c r="F16" s="5">
        <f t="shared" si="0"/>
        <v>5.5895284782938289E-3</v>
      </c>
      <c r="G16" s="7">
        <v>54.184767776823165</v>
      </c>
      <c r="H16" s="7">
        <v>23.6602163036337</v>
      </c>
      <c r="I16" s="3">
        <v>77039.999999995416</v>
      </c>
      <c r="J16" s="6">
        <f t="shared" si="1"/>
        <v>0.19467327032899231</v>
      </c>
    </row>
    <row r="17" spans="1:10" x14ac:dyDescent="0.35">
      <c r="A17" s="2">
        <v>45062</v>
      </c>
      <c r="B17" s="3">
        <v>392670</v>
      </c>
      <c r="C17" s="4">
        <f t="shared" si="2"/>
        <v>4544.7916666666661</v>
      </c>
      <c r="D17" s="4">
        <v>394588.00000000006</v>
      </c>
      <c r="E17" s="4">
        <f t="shared" si="3"/>
        <v>4566.9907407407409</v>
      </c>
      <c r="F17" s="5">
        <f t="shared" si="0"/>
        <v>-4.8845086204702629E-3</v>
      </c>
      <c r="G17" s="7">
        <v>51.295337051468152</v>
      </c>
      <c r="H17" s="7">
        <v>20.875360990144397</v>
      </c>
      <c r="I17" s="3">
        <v>77160.000000003492</v>
      </c>
      <c r="J17" s="6">
        <f t="shared" si="1"/>
        <v>0.19650087860036033</v>
      </c>
    </row>
    <row r="18" spans="1:10" x14ac:dyDescent="0.35">
      <c r="A18" s="2">
        <v>45063</v>
      </c>
      <c r="B18" s="3">
        <v>396210</v>
      </c>
      <c r="C18" s="4">
        <f t="shared" si="2"/>
        <v>4585.7638888888887</v>
      </c>
      <c r="D18" s="4">
        <v>391680.00000000006</v>
      </c>
      <c r="E18" s="4">
        <f t="shared" si="3"/>
        <v>4533.3333333333339</v>
      </c>
      <c r="F18" s="5">
        <f t="shared" si="0"/>
        <v>1.14333308094191E-2</v>
      </c>
      <c r="G18" s="7">
        <v>40.080866207314301</v>
      </c>
      <c r="H18" s="7">
        <v>22.86060422503218</v>
      </c>
      <c r="I18" s="3">
        <v>78479.999999999563</v>
      </c>
      <c r="J18" s="6">
        <f t="shared" si="1"/>
        <v>0.19807677746649394</v>
      </c>
    </row>
    <row r="19" spans="1:10" x14ac:dyDescent="0.35">
      <c r="A19" s="2">
        <v>45064</v>
      </c>
      <c r="B19" s="3">
        <v>389080</v>
      </c>
      <c r="C19" s="4">
        <f t="shared" si="2"/>
        <v>4503.2407407407409</v>
      </c>
      <c r="D19" s="4">
        <v>391108.00000000006</v>
      </c>
      <c r="E19" s="4">
        <f t="shared" si="3"/>
        <v>4526.7129629629635</v>
      </c>
      <c r="F19" s="5">
        <f t="shared" si="0"/>
        <v>-5.2122956718414163E-3</v>
      </c>
      <c r="G19" s="7">
        <v>39.547085432301841</v>
      </c>
      <c r="H19" s="7">
        <v>24.501706589904391</v>
      </c>
      <c r="I19" s="3">
        <v>77279.999999989741</v>
      </c>
      <c r="J19" s="6">
        <f t="shared" si="1"/>
        <v>0.1986223912819722</v>
      </c>
    </row>
    <row r="20" spans="1:10" x14ac:dyDescent="0.35">
      <c r="A20" s="2">
        <v>45065</v>
      </c>
      <c r="B20" s="3">
        <v>395360</v>
      </c>
      <c r="C20" s="4">
        <f t="shared" si="2"/>
        <v>4575.9259259259252</v>
      </c>
      <c r="D20" s="4">
        <v>392151.99999999994</v>
      </c>
      <c r="E20" s="4">
        <f t="shared" si="3"/>
        <v>4538.7962962962956</v>
      </c>
      <c r="F20" s="5">
        <f t="shared" si="0"/>
        <v>8.1141238365035877E-3</v>
      </c>
      <c r="G20" s="7">
        <v>40.167037636584382</v>
      </c>
      <c r="H20" s="7">
        <v>23.711594496155403</v>
      </c>
      <c r="I20" s="3">
        <v>76320.000000017899</v>
      </c>
      <c r="J20" s="6">
        <f t="shared" si="1"/>
        <v>0.19303925536224681</v>
      </c>
    </row>
    <row r="21" spans="1:10" x14ac:dyDescent="0.35">
      <c r="A21" s="2">
        <v>45066</v>
      </c>
      <c r="B21" s="3">
        <v>391090</v>
      </c>
      <c r="C21" s="4">
        <f t="shared" si="2"/>
        <v>4526.5046296296296</v>
      </c>
      <c r="D21" s="4">
        <v>391370.00000000006</v>
      </c>
      <c r="E21" s="4">
        <f t="shared" si="3"/>
        <v>4529.7453703703704</v>
      </c>
      <c r="F21" s="5">
        <f t="shared" si="0"/>
        <v>-7.1594773581543428E-4</v>
      </c>
      <c r="G21" s="7">
        <v>36.877675215423558</v>
      </c>
      <c r="H21" s="7">
        <v>24.983727530747398</v>
      </c>
      <c r="I21" s="3">
        <v>77519.999999989523</v>
      </c>
      <c r="J21" s="6">
        <f t="shared" si="1"/>
        <v>0.19821524457283368</v>
      </c>
    </row>
    <row r="22" spans="1:10" x14ac:dyDescent="0.35">
      <c r="A22" s="2">
        <v>45067</v>
      </c>
      <c r="B22" s="3">
        <v>394790</v>
      </c>
      <c r="C22" s="4">
        <f t="shared" si="2"/>
        <v>4569.3287037037035</v>
      </c>
      <c r="D22" s="4">
        <v>391089.99999999994</v>
      </c>
      <c r="E22" s="4">
        <f t="shared" si="3"/>
        <v>4526.5046296296287</v>
      </c>
      <c r="F22" s="5">
        <f t="shared" si="0"/>
        <v>9.3720712277414776E-3</v>
      </c>
      <c r="G22" s="7">
        <v>37.157020187948021</v>
      </c>
      <c r="H22" s="7">
        <v>22.713402061855671</v>
      </c>
      <c r="I22" s="3">
        <v>76680.000000003929</v>
      </c>
      <c r="J22" s="6">
        <f t="shared" si="1"/>
        <v>0.19422984371438975</v>
      </c>
    </row>
    <row r="23" spans="1:10" x14ac:dyDescent="0.35">
      <c r="A23" s="2">
        <v>45068</v>
      </c>
      <c r="B23" s="3">
        <v>396880</v>
      </c>
      <c r="C23" s="4">
        <f t="shared" si="2"/>
        <v>4593.5185185185182</v>
      </c>
      <c r="D23" s="4">
        <v>392374.00000000006</v>
      </c>
      <c r="E23" s="4">
        <f t="shared" si="3"/>
        <v>4541.3657407407409</v>
      </c>
      <c r="F23" s="5">
        <f t="shared" si="0"/>
        <v>1.1353557750453391E-2</v>
      </c>
      <c r="G23" s="7">
        <v>43.63021568232211</v>
      </c>
      <c r="H23" s="7">
        <v>24.590717597258617</v>
      </c>
      <c r="I23" s="3">
        <v>75240.000000016153</v>
      </c>
      <c r="J23" s="6">
        <f t="shared" si="1"/>
        <v>0.18957871396899856</v>
      </c>
    </row>
    <row r="24" spans="1:10" x14ac:dyDescent="0.35">
      <c r="A24" s="2">
        <v>45069</v>
      </c>
      <c r="B24" s="3">
        <v>397690</v>
      </c>
      <c r="C24" s="4">
        <f t="shared" si="2"/>
        <v>4602.8935185185182</v>
      </c>
      <c r="D24" s="4">
        <v>394270.00000000012</v>
      </c>
      <c r="E24" s="4">
        <f t="shared" si="3"/>
        <v>4563.3101851851861</v>
      </c>
      <c r="F24" s="5">
        <f t="shared" si="0"/>
        <v>8.599663054137353E-3</v>
      </c>
      <c r="G24" s="7">
        <v>39.93170559983907</v>
      </c>
      <c r="H24" s="7">
        <v>24.768387437451281</v>
      </c>
      <c r="I24" s="3">
        <v>75959.999999988213</v>
      </c>
      <c r="J24" s="6">
        <f t="shared" si="1"/>
        <v>0.19100304257081699</v>
      </c>
    </row>
    <row r="25" spans="1:10" x14ac:dyDescent="0.35">
      <c r="A25" s="2">
        <v>45070</v>
      </c>
      <c r="B25" s="3">
        <v>397730</v>
      </c>
      <c r="C25" s="4">
        <f t="shared" si="2"/>
        <v>4603.3564814814808</v>
      </c>
      <c r="D25" s="4">
        <v>393980</v>
      </c>
      <c r="E25" s="4">
        <f t="shared" si="3"/>
        <v>4559.9537037037035</v>
      </c>
      <c r="F25" s="5">
        <f t="shared" si="0"/>
        <v>9.4285067759535355E-3</v>
      </c>
      <c r="G25" s="7">
        <v>42.860231815553263</v>
      </c>
      <c r="H25" s="7">
        <v>24.281965152238957</v>
      </c>
      <c r="I25" s="3">
        <v>75240.000000005239</v>
      </c>
      <c r="J25" s="6">
        <f t="shared" si="1"/>
        <v>0.18917355995274493</v>
      </c>
    </row>
    <row r="26" spans="1:10" x14ac:dyDescent="0.35">
      <c r="A26" s="2">
        <v>45071</v>
      </c>
      <c r="B26" s="3">
        <v>395220</v>
      </c>
      <c r="C26" s="4">
        <f t="shared" si="2"/>
        <v>4574.3055555555557</v>
      </c>
      <c r="D26" s="4">
        <v>392995.99999999994</v>
      </c>
      <c r="E26" s="4">
        <f t="shared" si="3"/>
        <v>4548.5648148148139</v>
      </c>
      <c r="F26" s="5">
        <f t="shared" si="0"/>
        <v>5.627245584737762E-3</v>
      </c>
      <c r="G26" s="7">
        <v>44.267496584180961</v>
      </c>
      <c r="H26" s="7">
        <v>23.548109913465918</v>
      </c>
      <c r="I26" s="3">
        <v>75359.999999996944</v>
      </c>
      <c r="J26" s="6">
        <f t="shared" si="1"/>
        <v>0.19067860938210857</v>
      </c>
    </row>
    <row r="27" spans="1:10" x14ac:dyDescent="0.35">
      <c r="A27" s="2">
        <v>45072</v>
      </c>
      <c r="B27" s="3">
        <v>395750</v>
      </c>
      <c r="C27" s="4">
        <f t="shared" si="2"/>
        <v>4580.4398148148148</v>
      </c>
      <c r="D27" s="4">
        <v>392932</v>
      </c>
      <c r="E27" s="4">
        <f t="shared" si="3"/>
        <v>4547.8240740740739</v>
      </c>
      <c r="F27" s="5">
        <f t="shared" si="0"/>
        <v>7.1206569804169294E-3</v>
      </c>
      <c r="G27" s="7">
        <v>39.844068224889448</v>
      </c>
      <c r="H27" s="7">
        <v>24.403451674036639</v>
      </c>
      <c r="I27" s="3">
        <v>74279.999999989741</v>
      </c>
      <c r="J27" s="6">
        <f t="shared" si="1"/>
        <v>0.18769425142132595</v>
      </c>
    </row>
    <row r="28" spans="1:10" x14ac:dyDescent="0.35">
      <c r="A28" s="2">
        <v>45073</v>
      </c>
      <c r="B28" s="3">
        <v>394440</v>
      </c>
      <c r="C28" s="4">
        <f t="shared" si="2"/>
        <v>4565.2777777777774</v>
      </c>
      <c r="D28" s="4">
        <v>392040</v>
      </c>
      <c r="E28" s="4">
        <f t="shared" si="3"/>
        <v>4537.5</v>
      </c>
      <c r="F28" s="5">
        <f t="shared" si="0"/>
        <v>6.0845756008518406E-3</v>
      </c>
      <c r="G28" s="7">
        <v>40.772512929723149</v>
      </c>
      <c r="H28" s="7">
        <v>24.828947368421051</v>
      </c>
      <c r="I28" s="3">
        <v>74760.000000000218</v>
      </c>
      <c r="J28" s="6">
        <f t="shared" si="1"/>
        <v>0.18953452996653539</v>
      </c>
    </row>
    <row r="29" spans="1:10" x14ac:dyDescent="0.35">
      <c r="A29" s="2">
        <v>45074</v>
      </c>
      <c r="B29" s="3">
        <v>391910</v>
      </c>
      <c r="C29" s="4">
        <f t="shared" si="2"/>
        <v>4535.9953703703704</v>
      </c>
      <c r="D29" s="4">
        <v>392433.99999999994</v>
      </c>
      <c r="E29" s="4">
        <f t="shared" si="3"/>
        <v>4542.0601851851843</v>
      </c>
      <c r="F29" s="5">
        <f t="shared" si="0"/>
        <v>-1.3370416677296875E-3</v>
      </c>
      <c r="G29" s="7">
        <v>41.035722487305762</v>
      </c>
      <c r="H29" s="7">
        <v>24.787007221045648</v>
      </c>
      <c r="I29" s="3">
        <v>74040.00000000633</v>
      </c>
      <c r="J29" s="6">
        <f t="shared" si="1"/>
        <v>0.18892092572275862</v>
      </c>
    </row>
    <row r="30" spans="1:10" x14ac:dyDescent="0.35">
      <c r="A30" s="2">
        <v>45075</v>
      </c>
      <c r="B30" s="3">
        <v>394240</v>
      </c>
      <c r="C30" s="4">
        <f t="shared" si="2"/>
        <v>4562.9629629629626</v>
      </c>
      <c r="D30" s="4">
        <v>394222.00000000012</v>
      </c>
      <c r="E30" s="4">
        <f t="shared" si="3"/>
        <v>4562.7546296296305</v>
      </c>
      <c r="F30" s="5">
        <f t="shared" si="0"/>
        <v>4.5657467532172245E-5</v>
      </c>
      <c r="G30" s="7">
        <v>40.963879870129873</v>
      </c>
      <c r="H30" s="7">
        <v>25.157447240259739</v>
      </c>
      <c r="I30" s="3">
        <v>74160.000000008949</v>
      </c>
      <c r="J30" s="6">
        <f t="shared" si="1"/>
        <v>0.18810876623378894</v>
      </c>
    </row>
    <row r="31" spans="1:10" x14ac:dyDescent="0.35">
      <c r="A31" s="2">
        <v>45076</v>
      </c>
      <c r="B31" s="3">
        <v>396750</v>
      </c>
      <c r="C31" s="4">
        <f t="shared" si="2"/>
        <v>4592.0138888888887</v>
      </c>
      <c r="D31" s="4">
        <v>394110</v>
      </c>
      <c r="E31" s="4">
        <f t="shared" si="3"/>
        <v>4561.458333333333</v>
      </c>
      <c r="F31" s="5">
        <f t="shared" si="0"/>
        <v>6.6540642722117205E-3</v>
      </c>
      <c r="G31" s="7">
        <v>36.408115942028985</v>
      </c>
      <c r="H31" s="7">
        <v>24.284869565217392</v>
      </c>
      <c r="I31" s="3">
        <v>75839.999999996508</v>
      </c>
      <c r="J31" s="6">
        <f t="shared" si="1"/>
        <v>0.19115311909261878</v>
      </c>
    </row>
    <row r="32" spans="1:10" x14ac:dyDescent="0.35">
      <c r="A32" s="2">
        <v>45077</v>
      </c>
      <c r="B32" s="3">
        <v>394480</v>
      </c>
      <c r="C32" s="4">
        <f t="shared" si="2"/>
        <v>4565.7407407407409</v>
      </c>
      <c r="D32" s="4">
        <v>393320</v>
      </c>
      <c r="E32" s="4">
        <f t="shared" si="3"/>
        <v>4552.3148148148148</v>
      </c>
      <c r="F32" s="5">
        <f t="shared" si="0"/>
        <v>2.9405800040559725E-3</v>
      </c>
      <c r="G32" s="7">
        <v>38.914753599675521</v>
      </c>
      <c r="H32" s="7">
        <v>24.625522206448995</v>
      </c>
      <c r="I32" s="3">
        <v>76199.999999993452</v>
      </c>
      <c r="J32" s="6">
        <f t="shared" si="1"/>
        <v>0.19316568647331539</v>
      </c>
    </row>
    <row r="33" spans="1:10" x14ac:dyDescent="0.35">
      <c r="A33" s="2">
        <v>45078</v>
      </c>
      <c r="B33" s="3">
        <v>395650</v>
      </c>
      <c r="C33" s="4">
        <f t="shared" si="2"/>
        <v>4579.2824074074069</v>
      </c>
      <c r="D33" s="4">
        <v>391234</v>
      </c>
      <c r="E33" s="4">
        <f t="shared" si="3"/>
        <v>4528.1712962962956</v>
      </c>
      <c r="F33" s="5">
        <f t="shared" si="0"/>
        <v>1.1161380007582459E-2</v>
      </c>
      <c r="G33" s="7">
        <v>38.153393150511818</v>
      </c>
      <c r="H33" s="7">
        <v>24.695781625173765</v>
      </c>
      <c r="I33" s="3">
        <v>78479.999999999563</v>
      </c>
      <c r="J33" s="6">
        <f t="shared" si="1"/>
        <v>0.19835713383040457</v>
      </c>
    </row>
    <row r="34" spans="1:10" x14ac:dyDescent="0.35">
      <c r="A34" s="2">
        <v>45079</v>
      </c>
      <c r="B34" s="3">
        <v>392450</v>
      </c>
      <c r="C34" s="4">
        <f t="shared" si="2"/>
        <v>4542.2453703703704</v>
      </c>
      <c r="D34" s="4">
        <v>392556</v>
      </c>
      <c r="E34" s="4">
        <f t="shared" si="3"/>
        <v>4543.4722222222217</v>
      </c>
      <c r="F34" s="5">
        <f t="shared" si="0"/>
        <v>-2.700981016690024E-4</v>
      </c>
      <c r="G34" s="7">
        <v>33.097752579946487</v>
      </c>
      <c r="H34" s="7">
        <v>23.973963562237227</v>
      </c>
      <c r="I34" s="3">
        <v>74640.000000008513</v>
      </c>
      <c r="J34" s="6">
        <f t="shared" si="1"/>
        <v>0.19018983309977963</v>
      </c>
    </row>
    <row r="35" spans="1:10" x14ac:dyDescent="0.35">
      <c r="A35" s="2">
        <v>45080</v>
      </c>
      <c r="B35" s="3">
        <v>392560</v>
      </c>
      <c r="C35" s="4">
        <f t="shared" si="2"/>
        <v>4543.5185185185182</v>
      </c>
      <c r="D35" s="4">
        <v>391220</v>
      </c>
      <c r="E35" s="4">
        <f t="shared" si="3"/>
        <v>4528.0092592592591</v>
      </c>
      <c r="F35" s="5">
        <f t="shared" si="0"/>
        <v>3.4134909313226006E-3</v>
      </c>
      <c r="G35" s="7">
        <v>34.316940085592009</v>
      </c>
      <c r="H35" s="7">
        <v>25.726574281638477</v>
      </c>
      <c r="I35" s="3">
        <v>74519.99999999498</v>
      </c>
      <c r="J35" s="6">
        <f t="shared" si="1"/>
        <v>0.18983085388219631</v>
      </c>
    </row>
    <row r="36" spans="1:10" x14ac:dyDescent="0.35">
      <c r="A36" s="2">
        <v>45081</v>
      </c>
      <c r="B36" s="3">
        <v>396370</v>
      </c>
      <c r="C36" s="4">
        <f t="shared" si="2"/>
        <v>4587.6157407407409</v>
      </c>
      <c r="D36" s="4">
        <v>394996</v>
      </c>
      <c r="E36" s="4">
        <f t="shared" si="3"/>
        <v>4571.7129629629626</v>
      </c>
      <c r="F36" s="5">
        <f t="shared" si="0"/>
        <v>3.4664581073239648E-3</v>
      </c>
      <c r="G36" s="7">
        <v>36.788210510381717</v>
      </c>
      <c r="H36" s="7">
        <v>25.336463405404043</v>
      </c>
      <c r="I36" s="3">
        <v>74759.999999989304</v>
      </c>
      <c r="J36" s="6">
        <f t="shared" si="1"/>
        <v>0.18861165073035119</v>
      </c>
    </row>
    <row r="37" spans="1:10" x14ac:dyDescent="0.35">
      <c r="A37" s="2">
        <v>45082</v>
      </c>
      <c r="B37" s="3">
        <v>395600</v>
      </c>
      <c r="C37" s="4">
        <f t="shared" si="2"/>
        <v>4578.7037037037035</v>
      </c>
      <c r="D37" s="4">
        <v>394296</v>
      </c>
      <c r="E37" s="4">
        <f t="shared" si="3"/>
        <v>4563.6111111111104</v>
      </c>
      <c r="F37" s="5">
        <f t="shared" si="0"/>
        <v>3.2962588473205256E-3</v>
      </c>
      <c r="G37" s="7">
        <v>36.411895854398381</v>
      </c>
      <c r="H37" s="7">
        <v>25.156820020222447</v>
      </c>
      <c r="I37" s="3">
        <v>74640.000000003056</v>
      </c>
      <c r="J37" s="6">
        <f t="shared" si="1"/>
        <v>0.18867542972700468</v>
      </c>
    </row>
    <row r="38" spans="1:10" x14ac:dyDescent="0.35">
      <c r="A38" s="2">
        <v>45083</v>
      </c>
      <c r="B38" s="3">
        <v>395020</v>
      </c>
      <c r="C38" s="4">
        <f t="shared" si="2"/>
        <v>4571.9907407407409</v>
      </c>
      <c r="D38" s="4">
        <v>392684</v>
      </c>
      <c r="E38" s="4">
        <f t="shared" si="3"/>
        <v>4544.9537037037035</v>
      </c>
      <c r="F38" s="5">
        <f t="shared" si="0"/>
        <v>5.9136246266011851E-3</v>
      </c>
      <c r="G38" s="7">
        <v>36.465358716014379</v>
      </c>
      <c r="H38" s="7">
        <v>24.190592881373096</v>
      </c>
      <c r="I38" s="3">
        <v>74640.000000019427</v>
      </c>
      <c r="J38" s="6">
        <f t="shared" si="1"/>
        <v>0.18895245810343636</v>
      </c>
    </row>
    <row r="39" spans="1:10" x14ac:dyDescent="0.35">
      <c r="A39" s="2">
        <v>45084</v>
      </c>
      <c r="B39" s="3">
        <v>396820</v>
      </c>
      <c r="C39" s="4">
        <f t="shared" si="2"/>
        <v>4592.8240740740739</v>
      </c>
      <c r="D39" s="4">
        <v>394280</v>
      </c>
      <c r="E39" s="4">
        <f t="shared" si="3"/>
        <v>4563.4259259259252</v>
      </c>
      <c r="F39" s="5">
        <f t="shared" si="0"/>
        <v>6.4008870520639079E-3</v>
      </c>
      <c r="G39" s="7">
        <v>46.067360516103022</v>
      </c>
      <c r="H39" s="7">
        <v>24.822690388589283</v>
      </c>
      <c r="I39" s="3">
        <v>74999.999999989086</v>
      </c>
      <c r="J39" s="6">
        <f t="shared" si="1"/>
        <v>0.18900257043493041</v>
      </c>
    </row>
    <row r="40" spans="1:10" x14ac:dyDescent="0.35">
      <c r="A40" s="2">
        <v>45085</v>
      </c>
      <c r="B40" s="3">
        <v>393430</v>
      </c>
      <c r="C40" s="4">
        <f t="shared" si="2"/>
        <v>4553.5879629629626</v>
      </c>
      <c r="D40" s="4">
        <v>394196</v>
      </c>
      <c r="E40" s="4">
        <f t="shared" si="3"/>
        <v>4562.4537037037035</v>
      </c>
      <c r="F40" s="5">
        <f t="shared" si="0"/>
        <v>-1.9469791322471596E-3</v>
      </c>
      <c r="G40" s="7">
        <v>40.991205551178098</v>
      </c>
      <c r="H40" s="7">
        <v>23.137249320082354</v>
      </c>
      <c r="I40" s="3">
        <v>76079.999999996289</v>
      </c>
      <c r="J40" s="6">
        <f t="shared" si="1"/>
        <v>0.19337620415320714</v>
      </c>
    </row>
    <row r="41" spans="1:10" x14ac:dyDescent="0.35">
      <c r="A41" s="2">
        <v>45086</v>
      </c>
      <c r="B41" s="3">
        <v>395010</v>
      </c>
      <c r="C41" s="4">
        <f t="shared" si="2"/>
        <v>4571.875</v>
      </c>
      <c r="D41" s="4">
        <v>393984</v>
      </c>
      <c r="E41" s="4">
        <f t="shared" si="3"/>
        <v>4560</v>
      </c>
      <c r="F41" s="5">
        <f t="shared" si="0"/>
        <v>2.5974025974025974E-3</v>
      </c>
      <c r="G41" s="7">
        <v>35.926839826839824</v>
      </c>
      <c r="H41" s="7">
        <v>24.420505809979495</v>
      </c>
      <c r="I41" s="3">
        <v>73800.000000001091</v>
      </c>
      <c r="J41" s="6">
        <f t="shared" si="1"/>
        <v>0.18683071314650537</v>
      </c>
    </row>
    <row r="42" spans="1:10" x14ac:dyDescent="0.35">
      <c r="A42" s="2">
        <v>45087</v>
      </c>
      <c r="B42" s="3">
        <v>393660</v>
      </c>
      <c r="C42" s="4">
        <f t="shared" si="2"/>
        <v>4556.25</v>
      </c>
      <c r="D42" s="4">
        <v>392034</v>
      </c>
      <c r="E42" s="4">
        <f t="shared" si="3"/>
        <v>4537.4305555555557</v>
      </c>
      <c r="F42" s="5">
        <f t="shared" si="0"/>
        <v>4.1304679164761472E-3</v>
      </c>
      <c r="G42" s="7">
        <v>36.659711426103748</v>
      </c>
      <c r="H42" s="7">
        <v>24.072839506172841</v>
      </c>
      <c r="I42" s="3">
        <v>77760.000000005675</v>
      </c>
      <c r="J42" s="6">
        <f t="shared" si="1"/>
        <v>0.19753086419754529</v>
      </c>
    </row>
    <row r="43" spans="1:10" x14ac:dyDescent="0.35">
      <c r="A43" s="2">
        <v>45088</v>
      </c>
      <c r="B43" s="3">
        <v>393190</v>
      </c>
      <c r="C43" s="4">
        <f t="shared" si="2"/>
        <v>4550.8101851851852</v>
      </c>
      <c r="D43" s="4">
        <v>391426</v>
      </c>
      <c r="E43" s="4">
        <f t="shared" si="3"/>
        <v>4530.3935185185182</v>
      </c>
      <c r="F43" s="5">
        <f t="shared" si="0"/>
        <v>4.48638063022966E-3</v>
      </c>
      <c r="G43" s="7">
        <v>36.703532643251357</v>
      </c>
      <c r="H43" s="7">
        <v>24.936676924642029</v>
      </c>
      <c r="I43" s="3">
        <v>75119.999999991705</v>
      </c>
      <c r="J43" s="6">
        <f t="shared" si="1"/>
        <v>0.19105267173628959</v>
      </c>
    </row>
    <row r="44" spans="1:10" x14ac:dyDescent="0.35">
      <c r="A44" s="2">
        <v>45089</v>
      </c>
      <c r="B44" s="3">
        <v>395330</v>
      </c>
      <c r="C44" s="4">
        <f t="shared" si="2"/>
        <v>4575.5787037037035</v>
      </c>
      <c r="D44" s="4">
        <v>393914</v>
      </c>
      <c r="E44" s="4">
        <f t="shared" si="3"/>
        <v>4559.1898148148148</v>
      </c>
      <c r="F44" s="5">
        <f t="shared" si="0"/>
        <v>3.5818177219032201E-3</v>
      </c>
      <c r="G44" s="7">
        <v>35.290668555384109</v>
      </c>
      <c r="H44" s="7">
        <v>24.286181165102573</v>
      </c>
      <c r="I44" s="3">
        <v>75239.999999994325</v>
      </c>
      <c r="J44" s="6">
        <f t="shared" si="1"/>
        <v>0.1903220094604364</v>
      </c>
    </row>
    <row r="45" spans="1:10" x14ac:dyDescent="0.35">
      <c r="A45" s="2">
        <v>45090</v>
      </c>
      <c r="B45" s="3">
        <v>396050</v>
      </c>
      <c r="C45" s="4">
        <f t="shared" si="2"/>
        <v>4583.9120370370365</v>
      </c>
      <c r="D45" s="4">
        <v>394428</v>
      </c>
      <c r="E45" s="4">
        <f t="shared" si="3"/>
        <v>4565.1388888888887</v>
      </c>
      <c r="F45" s="5">
        <f t="shared" si="0"/>
        <v>4.095442494634516E-3</v>
      </c>
      <c r="G45" s="7">
        <v>37.661785128140387</v>
      </c>
      <c r="H45" s="7">
        <v>24.785188738795608</v>
      </c>
      <c r="I45" s="3">
        <v>75120.000000013533</v>
      </c>
      <c r="J45" s="6">
        <f t="shared" si="1"/>
        <v>0.18967302108323073</v>
      </c>
    </row>
    <row r="46" spans="1:10" x14ac:dyDescent="0.35">
      <c r="A46" s="2">
        <v>45091</v>
      </c>
      <c r="B46" s="3">
        <v>396650</v>
      </c>
      <c r="C46" s="4">
        <f t="shared" si="2"/>
        <v>4590.8564814814808</v>
      </c>
      <c r="D46" s="4">
        <v>395270</v>
      </c>
      <c r="E46" s="4">
        <f t="shared" si="3"/>
        <v>4574.8842592592591</v>
      </c>
      <c r="F46" s="5">
        <f t="shared" si="0"/>
        <v>3.4791377788982729E-3</v>
      </c>
      <c r="G46" s="7">
        <v>36.762241270641624</v>
      </c>
      <c r="H46" s="7">
        <v>24.462256397327618</v>
      </c>
      <c r="I46" s="3">
        <v>75720.000000004802</v>
      </c>
      <c r="J46" s="6">
        <f t="shared" si="1"/>
        <v>0.19089877725956084</v>
      </c>
    </row>
    <row r="47" spans="1:10" x14ac:dyDescent="0.35">
      <c r="A47" s="2">
        <v>45092</v>
      </c>
      <c r="B47" s="3">
        <v>397720</v>
      </c>
      <c r="C47" s="4">
        <f t="shared" si="2"/>
        <v>4603.2407407407409</v>
      </c>
      <c r="D47" s="4">
        <v>393940</v>
      </c>
      <c r="E47" s="4">
        <f t="shared" si="3"/>
        <v>4559.4907407407409</v>
      </c>
      <c r="F47" s="5">
        <f t="shared" si="0"/>
        <v>9.5041737906064565E-3</v>
      </c>
      <c r="G47" s="7">
        <v>36.026058533641759</v>
      </c>
      <c r="H47" s="7">
        <v>25.278929900432466</v>
      </c>
      <c r="I47" s="3">
        <v>75359.999999996944</v>
      </c>
      <c r="J47" s="6">
        <f t="shared" si="1"/>
        <v>0.18948003620636866</v>
      </c>
    </row>
    <row r="48" spans="1:10" x14ac:dyDescent="0.35">
      <c r="A48" s="2">
        <v>45093</v>
      </c>
      <c r="B48" s="3">
        <v>393160</v>
      </c>
      <c r="C48" s="4">
        <f t="shared" si="2"/>
        <v>4550.4629629629626</v>
      </c>
      <c r="D48" s="4">
        <v>392618</v>
      </c>
      <c r="E48" s="4">
        <f t="shared" si="3"/>
        <v>4544.1898148148148</v>
      </c>
      <c r="F48" s="5">
        <f t="shared" si="0"/>
        <v>1.3785736087089226E-3</v>
      </c>
      <c r="G48" s="7">
        <v>37.744653576152203</v>
      </c>
      <c r="H48" s="7">
        <v>25.744907925526505</v>
      </c>
      <c r="I48" s="3">
        <v>75839.999999985594</v>
      </c>
      <c r="J48" s="6">
        <f t="shared" si="1"/>
        <v>0.1928985654694923</v>
      </c>
    </row>
    <row r="49" spans="1:10" x14ac:dyDescent="0.35">
      <c r="A49" s="2">
        <v>45094</v>
      </c>
      <c r="B49" s="3">
        <v>397630</v>
      </c>
      <c r="C49" s="4">
        <f t="shared" si="2"/>
        <v>4602.1990740740739</v>
      </c>
      <c r="D49" s="4">
        <v>392010</v>
      </c>
      <c r="E49" s="4">
        <f t="shared" si="3"/>
        <v>4537.1527777777774</v>
      </c>
      <c r="F49" s="5">
        <f t="shared" si="0"/>
        <v>1.413374242386138E-2</v>
      </c>
      <c r="G49" s="7">
        <v>36.028571787842971</v>
      </c>
      <c r="H49" s="7">
        <v>24.601282599401454</v>
      </c>
      <c r="I49" s="3">
        <v>74880.000000013752</v>
      </c>
      <c r="J49" s="6">
        <f t="shared" si="1"/>
        <v>0.18831577094287089</v>
      </c>
    </row>
    <row r="50" spans="1:10" x14ac:dyDescent="0.35">
      <c r="A50" s="2">
        <v>45095</v>
      </c>
      <c r="B50" s="3">
        <v>399720</v>
      </c>
      <c r="C50" s="4">
        <f t="shared" si="2"/>
        <v>4626.3888888888887</v>
      </c>
      <c r="D50" s="4">
        <v>391254</v>
      </c>
      <c r="E50" s="4">
        <f t="shared" si="3"/>
        <v>4528.4027777777774</v>
      </c>
      <c r="F50" s="5">
        <f t="shared" si="0"/>
        <v>2.1179825878114681E-2</v>
      </c>
      <c r="G50" s="7">
        <v>36.704350545381764</v>
      </c>
      <c r="H50" s="7">
        <v>24.670924647253077</v>
      </c>
      <c r="I50" s="3">
        <v>74399.999999975989</v>
      </c>
      <c r="J50" s="6">
        <f t="shared" si="1"/>
        <v>0.18613029120378263</v>
      </c>
    </row>
    <row r="51" spans="1:10" x14ac:dyDescent="0.35">
      <c r="A51" s="2">
        <v>45096</v>
      </c>
      <c r="B51" s="3">
        <v>397590</v>
      </c>
      <c r="C51" s="4">
        <f t="shared" si="2"/>
        <v>4601.7361111111104</v>
      </c>
      <c r="D51" s="4">
        <v>393034</v>
      </c>
      <c r="E51" s="4">
        <f t="shared" si="3"/>
        <v>4549.0046296296296</v>
      </c>
      <c r="F51" s="5">
        <f t="shared" si="0"/>
        <v>1.1459040720340048E-2</v>
      </c>
      <c r="G51" s="7">
        <v>36.726099750999772</v>
      </c>
      <c r="H51" s="7">
        <v>25.372625066022788</v>
      </c>
      <c r="I51" s="3">
        <v>75960.000000031869</v>
      </c>
      <c r="J51" s="6">
        <f t="shared" si="1"/>
        <v>0.19105108277379176</v>
      </c>
    </row>
    <row r="52" spans="1:10" x14ac:dyDescent="0.35">
      <c r="A52" s="2">
        <v>45097</v>
      </c>
      <c r="B52" s="3">
        <v>395480</v>
      </c>
      <c r="C52" s="4">
        <f t="shared" si="2"/>
        <v>4577.3148148148148</v>
      </c>
      <c r="D52" s="4">
        <v>393778</v>
      </c>
      <c r="E52" s="4">
        <f t="shared" si="3"/>
        <v>4557.6157407407409</v>
      </c>
      <c r="F52" s="5">
        <f t="shared" si="0"/>
        <v>4.3036310306463028E-3</v>
      </c>
      <c r="G52" s="7">
        <v>36.87099979771417</v>
      </c>
      <c r="H52" s="7">
        <v>25.593880853646201</v>
      </c>
      <c r="I52" s="3">
        <v>75719.999999993888</v>
      </c>
      <c r="J52" s="6">
        <f t="shared" si="1"/>
        <v>0.19146353797914911</v>
      </c>
    </row>
    <row r="53" spans="1:10" x14ac:dyDescent="0.35">
      <c r="A53" s="2">
        <v>45098</v>
      </c>
      <c r="B53" s="3">
        <v>398010</v>
      </c>
      <c r="C53" s="4">
        <f t="shared" si="2"/>
        <v>4606.5972222222217</v>
      </c>
      <c r="D53" s="4">
        <v>396294</v>
      </c>
      <c r="E53" s="4">
        <f t="shared" si="3"/>
        <v>4586.7361111111104</v>
      </c>
      <c r="F53" s="5">
        <f t="shared" si="0"/>
        <v>4.311449461068817E-3</v>
      </c>
      <c r="G53" s="7">
        <v>40.496967412879073</v>
      </c>
      <c r="H53" s="7">
        <v>24.407115399110577</v>
      </c>
      <c r="I53" s="3">
        <v>76199.999999982538</v>
      </c>
      <c r="J53" s="6">
        <f t="shared" si="1"/>
        <v>0.1914524760683966</v>
      </c>
    </row>
    <row r="54" spans="1:10" x14ac:dyDescent="0.35">
      <c r="A54" s="2">
        <v>45099</v>
      </c>
      <c r="B54" s="3">
        <v>397810</v>
      </c>
      <c r="C54" s="4">
        <f t="shared" si="2"/>
        <v>4604.2824074074069</v>
      </c>
      <c r="D54" s="4">
        <v>399170</v>
      </c>
      <c r="E54" s="4">
        <f t="shared" si="3"/>
        <v>4620.0231481481478</v>
      </c>
      <c r="F54" s="5">
        <f t="shared" si="0"/>
        <v>-3.4187174781931074E-3</v>
      </c>
      <c r="G54" s="7">
        <v>38.092828234584353</v>
      </c>
      <c r="H54" s="7">
        <v>25.358593298308236</v>
      </c>
      <c r="I54" s="3">
        <v>77280.000000011569</v>
      </c>
      <c r="J54" s="6">
        <f t="shared" si="1"/>
        <v>0.19426359317264918</v>
      </c>
    </row>
    <row r="55" spans="1:10" x14ac:dyDescent="0.35">
      <c r="A55" s="2">
        <v>45100</v>
      </c>
      <c r="B55" s="3">
        <v>397480</v>
      </c>
      <c r="C55" s="4">
        <f t="shared" si="2"/>
        <v>4600.4629629629626</v>
      </c>
      <c r="D55" s="4">
        <v>398696</v>
      </c>
      <c r="E55" s="4">
        <f t="shared" si="3"/>
        <v>4614.5370370370365</v>
      </c>
      <c r="F55" s="5">
        <f t="shared" si="0"/>
        <v>-3.0592734225621415E-3</v>
      </c>
      <c r="G55" s="7">
        <v>37.33442688940324</v>
      </c>
      <c r="H55" s="7">
        <v>24.952379993961959</v>
      </c>
      <c r="I55" s="3">
        <v>79679.999999998472</v>
      </c>
      <c r="J55" s="6">
        <f t="shared" si="1"/>
        <v>0.200462916373147</v>
      </c>
    </row>
    <row r="56" spans="1:10" x14ac:dyDescent="0.35">
      <c r="A56" s="2">
        <v>45101</v>
      </c>
      <c r="B56" s="3">
        <v>398780</v>
      </c>
      <c r="C56" s="4">
        <f t="shared" si="2"/>
        <v>4615.5092592592591</v>
      </c>
      <c r="D56" s="4">
        <v>398234</v>
      </c>
      <c r="E56" s="4">
        <f t="shared" si="3"/>
        <v>4609.1898148148148</v>
      </c>
      <c r="F56" s="5">
        <f t="shared" si="0"/>
        <v>1.3691759867596168E-3</v>
      </c>
      <c r="G56" s="7">
        <v>36.565883444505744</v>
      </c>
      <c r="H56" s="7">
        <v>25.041386227995385</v>
      </c>
      <c r="I56" s="3">
        <v>78360.000000002401</v>
      </c>
      <c r="J56" s="6">
        <f t="shared" si="1"/>
        <v>0.19649932293495762</v>
      </c>
    </row>
    <row r="57" spans="1:10" x14ac:dyDescent="0.35">
      <c r="A57" s="2">
        <v>45102</v>
      </c>
      <c r="B57" s="3">
        <v>396690</v>
      </c>
      <c r="C57" s="4">
        <f t="shared" si="2"/>
        <v>4591.3194444444443</v>
      </c>
      <c r="D57" s="4">
        <v>397188</v>
      </c>
      <c r="E57" s="4">
        <f t="shared" si="3"/>
        <v>4597.083333333333</v>
      </c>
      <c r="F57" s="5">
        <f t="shared" si="0"/>
        <v>-1.2553883385010966E-3</v>
      </c>
      <c r="G57" s="7">
        <v>36.113945398169854</v>
      </c>
      <c r="H57" s="7">
        <v>25.087695681766618</v>
      </c>
      <c r="I57" s="3">
        <v>78599.999999985812</v>
      </c>
      <c r="J57" s="6">
        <f t="shared" si="1"/>
        <v>0.19813960523326984</v>
      </c>
    </row>
    <row r="58" spans="1:10" x14ac:dyDescent="0.35">
      <c r="A58" s="2">
        <v>45103</v>
      </c>
      <c r="B58" s="3">
        <v>397600</v>
      </c>
      <c r="C58" s="4">
        <f t="shared" si="2"/>
        <v>4601.8518518518513</v>
      </c>
      <c r="D58" s="4">
        <v>399396</v>
      </c>
      <c r="E58" s="4">
        <f t="shared" si="3"/>
        <v>4622.6388888888887</v>
      </c>
      <c r="F58" s="5">
        <f t="shared" si="0"/>
        <v>-4.5171026156941652E-3</v>
      </c>
      <c r="G58" s="7">
        <v>40.533086016096583</v>
      </c>
      <c r="H58" s="7">
        <v>25.087228370221329</v>
      </c>
      <c r="I58" s="3">
        <v>76920.000000014625</v>
      </c>
      <c r="J58" s="6">
        <f t="shared" si="1"/>
        <v>0.19346076458756192</v>
      </c>
    </row>
    <row r="59" spans="1:10" x14ac:dyDescent="0.35">
      <c r="A59" s="2">
        <v>45104</v>
      </c>
      <c r="B59" s="3">
        <v>397930</v>
      </c>
      <c r="C59" s="4">
        <f t="shared" si="2"/>
        <v>4605.6712962962956</v>
      </c>
      <c r="D59" s="4">
        <v>397428</v>
      </c>
      <c r="E59" s="4">
        <f t="shared" si="3"/>
        <v>4599.8611111111104</v>
      </c>
      <c r="F59" s="5">
        <f t="shared" si="0"/>
        <v>1.2615284095192621E-3</v>
      </c>
      <c r="G59" s="7">
        <v>46.54198225818611</v>
      </c>
      <c r="H59" s="7">
        <v>25.350946146307141</v>
      </c>
      <c r="I59" s="3">
        <v>78960.000000004584</v>
      </c>
      <c r="J59" s="6">
        <f t="shared" si="1"/>
        <v>0.19842685899531221</v>
      </c>
    </row>
    <row r="60" spans="1:10" x14ac:dyDescent="0.35">
      <c r="A60" s="2">
        <v>45105</v>
      </c>
      <c r="B60" s="3">
        <v>398140</v>
      </c>
      <c r="C60" s="4">
        <f t="shared" si="2"/>
        <v>4608.1018518518513</v>
      </c>
      <c r="D60" s="4">
        <v>396746</v>
      </c>
      <c r="E60" s="4">
        <f t="shared" si="3"/>
        <v>4591.9675925925922</v>
      </c>
      <c r="F60" s="5">
        <f t="shared" si="0"/>
        <v>3.501280956447481E-3</v>
      </c>
      <c r="G60" s="7">
        <v>37.458449289194753</v>
      </c>
      <c r="H60" s="7">
        <v>24.569769427839454</v>
      </c>
      <c r="I60" s="3">
        <v>79799.99999998472</v>
      </c>
      <c r="J60" s="6">
        <f t="shared" si="1"/>
        <v>0.20043200884107279</v>
      </c>
    </row>
    <row r="61" spans="1:10" x14ac:dyDescent="0.35">
      <c r="A61" s="2">
        <v>45106</v>
      </c>
      <c r="B61" s="3">
        <v>395690</v>
      </c>
      <c r="C61" s="4">
        <f t="shared" si="2"/>
        <v>4579.7453703703704</v>
      </c>
      <c r="D61" s="4">
        <v>392684</v>
      </c>
      <c r="E61" s="4">
        <f t="shared" si="3"/>
        <v>4544.9537037037035</v>
      </c>
      <c r="F61" s="5">
        <f t="shared" si="0"/>
        <v>7.5968561247441177E-3</v>
      </c>
      <c r="G61" s="7">
        <v>35.865098941090245</v>
      </c>
      <c r="H61" s="7">
        <v>24.721898455861911</v>
      </c>
      <c r="I61" s="3">
        <v>80160.000000008949</v>
      </c>
      <c r="J61" s="6">
        <f t="shared" si="1"/>
        <v>0.2025828299931991</v>
      </c>
    </row>
    <row r="62" spans="1:10" x14ac:dyDescent="0.35">
      <c r="A62" s="2">
        <v>45107</v>
      </c>
      <c r="B62" s="3">
        <v>397670</v>
      </c>
      <c r="C62" s="4">
        <f t="shared" si="2"/>
        <v>4602.6620370370365</v>
      </c>
      <c r="D62" s="4">
        <v>396790</v>
      </c>
      <c r="E62" s="4">
        <f t="shared" si="3"/>
        <v>4592.4768518518513</v>
      </c>
      <c r="F62" s="5">
        <f t="shared" si="0"/>
        <v>2.2128900847436317E-3</v>
      </c>
      <c r="G62" s="7">
        <v>36.29004450926648</v>
      </c>
      <c r="H62" s="7">
        <v>24.598808056931627</v>
      </c>
      <c r="I62" s="3">
        <v>76199.999999993452</v>
      </c>
      <c r="J62" s="6">
        <f t="shared" si="1"/>
        <v>0.19161616415619345</v>
      </c>
    </row>
    <row r="63" spans="1:10" x14ac:dyDescent="0.35">
      <c r="A63" s="2">
        <v>45108</v>
      </c>
      <c r="B63" s="3">
        <v>393300</v>
      </c>
      <c r="C63" s="4">
        <f t="shared" si="2"/>
        <v>4552.083333333333</v>
      </c>
      <c r="D63" s="4">
        <v>394644</v>
      </c>
      <c r="E63" s="4">
        <f t="shared" si="3"/>
        <v>4567.6388888888887</v>
      </c>
      <c r="F63" s="5">
        <f t="shared" si="0"/>
        <v>-3.4172387490465292E-3</v>
      </c>
      <c r="G63" s="7">
        <v>53.990544113907958</v>
      </c>
      <c r="H63" s="7">
        <v>24.411533180778033</v>
      </c>
      <c r="I63" s="3">
        <v>77520.000000000437</v>
      </c>
      <c r="J63" s="6">
        <f t="shared" si="1"/>
        <v>0.19710144927536344</v>
      </c>
    </row>
    <row r="64" spans="1:10" x14ac:dyDescent="0.35">
      <c r="A64" s="2">
        <v>45109</v>
      </c>
      <c r="B64" s="3">
        <v>392180</v>
      </c>
      <c r="C64" s="4">
        <f t="shared" si="2"/>
        <v>4539.1203703703704</v>
      </c>
      <c r="D64" s="4">
        <v>395676</v>
      </c>
      <c r="E64" s="4">
        <f t="shared" si="3"/>
        <v>4579.583333333333</v>
      </c>
      <c r="F64" s="5">
        <f t="shared" si="0"/>
        <v>-8.9142740578305874E-3</v>
      </c>
      <c r="G64" s="7">
        <v>46.972714059870469</v>
      </c>
      <c r="H64" s="7">
        <v>25.289591514100668</v>
      </c>
      <c r="I64" s="3">
        <v>75600.00000000764</v>
      </c>
      <c r="J64" s="6">
        <f t="shared" si="1"/>
        <v>0.19276862665104708</v>
      </c>
    </row>
    <row r="65" spans="1:10" x14ac:dyDescent="0.35">
      <c r="A65" s="2">
        <v>45110</v>
      </c>
      <c r="B65" s="3">
        <v>398520</v>
      </c>
      <c r="C65" s="4">
        <f t="shared" si="2"/>
        <v>4612.5</v>
      </c>
      <c r="D65" s="4">
        <v>399715</v>
      </c>
      <c r="E65" s="4">
        <f t="shared" si="3"/>
        <v>4626.3310185185182</v>
      </c>
      <c r="F65" s="5">
        <f t="shared" si="0"/>
        <v>-2.9985948007628226E-3</v>
      </c>
      <c r="G65" s="7">
        <v>46.225431596908564</v>
      </c>
      <c r="H65" s="7">
        <v>25.370234869015356</v>
      </c>
      <c r="I65" s="3">
        <v>73800.000000001091</v>
      </c>
      <c r="J65" s="6">
        <f t="shared" si="1"/>
        <v>0.18518518518518792</v>
      </c>
    </row>
    <row r="66" spans="1:10" x14ac:dyDescent="0.35">
      <c r="A66" s="2">
        <v>45111</v>
      </c>
      <c r="B66" s="3">
        <v>397500</v>
      </c>
      <c r="C66" s="4">
        <f t="shared" si="2"/>
        <v>4600.6944444444443</v>
      </c>
      <c r="D66" s="4">
        <v>400227</v>
      </c>
      <c r="E66" s="4">
        <f t="shared" si="3"/>
        <v>4632.2569444444443</v>
      </c>
      <c r="F66" s="5">
        <f t="shared" si="0"/>
        <v>-6.8603773584905662E-3</v>
      </c>
      <c r="G66" s="7">
        <v>41.192201257861633</v>
      </c>
      <c r="H66" s="7">
        <v>25.235954716981134</v>
      </c>
      <c r="I66" s="3">
        <v>76080.00000001266</v>
      </c>
      <c r="J66" s="6">
        <f t="shared" si="1"/>
        <v>0.19139622641512619</v>
      </c>
    </row>
    <row r="67" spans="1:10" x14ac:dyDescent="0.35">
      <c r="A67" s="2">
        <v>45112</v>
      </c>
      <c r="B67" s="3">
        <v>395980</v>
      </c>
      <c r="C67" s="4">
        <f t="shared" si="2"/>
        <v>4583.1018518518513</v>
      </c>
      <c r="D67" s="4">
        <v>399520</v>
      </c>
      <c r="E67" s="4">
        <f t="shared" si="3"/>
        <v>4624.0740740740739</v>
      </c>
      <c r="F67" s="5">
        <f t="shared" si="0"/>
        <v>-8.9398454467397338E-3</v>
      </c>
      <c r="G67" s="7">
        <v>38.767341784938637</v>
      </c>
      <c r="H67" s="7">
        <v>24.818162533461287</v>
      </c>
      <c r="I67" s="3">
        <v>77159.999999987122</v>
      </c>
      <c r="J67" s="6">
        <f t="shared" si="1"/>
        <v>0.19485832617805729</v>
      </c>
    </row>
    <row r="68" spans="1:10" x14ac:dyDescent="0.35">
      <c r="A68" s="2">
        <v>45113</v>
      </c>
      <c r="B68" s="3">
        <v>396480</v>
      </c>
      <c r="C68" s="4">
        <f t="shared" si="2"/>
        <v>4588.8888888888887</v>
      </c>
      <c r="D68" s="4">
        <v>398636</v>
      </c>
      <c r="E68" s="4">
        <f t="shared" si="3"/>
        <v>4613.8425925925922</v>
      </c>
      <c r="F68" s="5">
        <f t="shared" ref="F68:F131" si="4">(B68-D68)/B68</f>
        <v>-5.4378531073446326E-3</v>
      </c>
      <c r="G68" s="7">
        <v>41.298173930589186</v>
      </c>
      <c r="H68" s="7">
        <v>25.47221549636804</v>
      </c>
      <c r="I68" s="3">
        <v>76679.999999987558</v>
      </c>
      <c r="J68" s="6">
        <f t="shared" ref="J68:J131" si="5">I68/B68</f>
        <v>0.19340193704597347</v>
      </c>
    </row>
    <row r="69" spans="1:10" x14ac:dyDescent="0.35">
      <c r="A69" s="2">
        <v>45114</v>
      </c>
      <c r="B69" s="3">
        <v>397370</v>
      </c>
      <c r="C69" s="4">
        <f t="shared" ref="C69:C132" si="6">B69/86.4</f>
        <v>4599.1898148148148</v>
      </c>
      <c r="D69" s="4">
        <v>398472</v>
      </c>
      <c r="E69" s="4">
        <f t="shared" ref="E69:E132" si="7">D69/86.4</f>
        <v>4611.9444444444443</v>
      </c>
      <c r="F69" s="5">
        <f t="shared" si="4"/>
        <v>-2.7732340136396808E-3</v>
      </c>
      <c r="G69" s="7">
        <v>38.631733648740472</v>
      </c>
      <c r="H69" s="7">
        <v>25.472149382187887</v>
      </c>
      <c r="I69" s="3">
        <v>77160.000000008949</v>
      </c>
      <c r="J69" s="6">
        <f t="shared" si="5"/>
        <v>0.19417671188063756</v>
      </c>
    </row>
    <row r="70" spans="1:10" x14ac:dyDescent="0.35">
      <c r="A70" s="2">
        <v>45115</v>
      </c>
      <c r="B70" s="3">
        <v>397720</v>
      </c>
      <c r="C70" s="4">
        <f t="shared" si="6"/>
        <v>4603.2407407407409</v>
      </c>
      <c r="D70" s="4">
        <v>397474</v>
      </c>
      <c r="E70" s="4">
        <f t="shared" si="7"/>
        <v>4600.3935185185182</v>
      </c>
      <c r="F70" s="5">
        <f t="shared" si="4"/>
        <v>6.1852559589661068E-4</v>
      </c>
      <c r="G70" s="7">
        <v>41.169415669315093</v>
      </c>
      <c r="H70" s="7">
        <v>23.314688725736698</v>
      </c>
      <c r="I70" s="3">
        <v>75600.00000000764</v>
      </c>
      <c r="J70" s="6">
        <f t="shared" si="5"/>
        <v>0.19008347581214835</v>
      </c>
    </row>
    <row r="71" spans="1:10" x14ac:dyDescent="0.35">
      <c r="A71" s="2">
        <v>45116</v>
      </c>
      <c r="B71" s="3">
        <v>395460</v>
      </c>
      <c r="C71" s="4">
        <f t="shared" si="6"/>
        <v>4577.083333333333</v>
      </c>
      <c r="D71" s="4">
        <v>397464</v>
      </c>
      <c r="E71" s="4">
        <f t="shared" si="7"/>
        <v>4600.2777777777774</v>
      </c>
      <c r="F71" s="5">
        <f t="shared" si="4"/>
        <v>-5.0675163101198606E-3</v>
      </c>
      <c r="G71" s="7">
        <v>42.697880948768521</v>
      </c>
      <c r="H71" s="7">
        <v>24.96531634046427</v>
      </c>
      <c r="I71" s="3">
        <v>75840.000000001965</v>
      </c>
      <c r="J71" s="6">
        <f t="shared" si="5"/>
        <v>0.19177666514945119</v>
      </c>
    </row>
    <row r="72" spans="1:10" x14ac:dyDescent="0.35">
      <c r="A72" s="2">
        <v>45117</v>
      </c>
      <c r="B72" s="3">
        <v>395960</v>
      </c>
      <c r="C72" s="4">
        <f t="shared" si="6"/>
        <v>4582.8703703703704</v>
      </c>
      <c r="D72" s="4">
        <v>398838</v>
      </c>
      <c r="E72" s="4">
        <f t="shared" si="7"/>
        <v>4616.1805555555557</v>
      </c>
      <c r="F72" s="5">
        <f t="shared" si="4"/>
        <v>-7.2684109506010704E-3</v>
      </c>
      <c r="G72" s="7">
        <v>38.769299929285786</v>
      </c>
      <c r="H72" s="7">
        <v>25.505667239115063</v>
      </c>
      <c r="I72" s="3">
        <v>76559.999999979482</v>
      </c>
      <c r="J72" s="6">
        <f t="shared" si="5"/>
        <v>0.19335286392559722</v>
      </c>
    </row>
    <row r="73" spans="1:10" x14ac:dyDescent="0.35">
      <c r="A73" s="2">
        <v>45118</v>
      </c>
      <c r="B73" s="3">
        <v>397220</v>
      </c>
      <c r="C73" s="4">
        <f t="shared" si="6"/>
        <v>4597.4537037037035</v>
      </c>
      <c r="D73" s="4">
        <v>400846</v>
      </c>
      <c r="E73" s="4">
        <f t="shared" si="7"/>
        <v>4639.4212962962956</v>
      </c>
      <c r="F73" s="5">
        <f t="shared" si="4"/>
        <v>-9.1284426766023857E-3</v>
      </c>
      <c r="G73" s="7">
        <v>37.358864105533456</v>
      </c>
      <c r="H73" s="7">
        <v>25.510271386133628</v>
      </c>
      <c r="I73" s="3">
        <v>77160.000000019863</v>
      </c>
      <c r="J73" s="6">
        <f t="shared" si="5"/>
        <v>0.19425003776249902</v>
      </c>
    </row>
    <row r="74" spans="1:10" x14ac:dyDescent="0.35">
      <c r="A74" s="2">
        <v>45119</v>
      </c>
      <c r="B74" s="3">
        <v>397510</v>
      </c>
      <c r="C74" s="4">
        <f t="shared" si="6"/>
        <v>4600.8101851851852</v>
      </c>
      <c r="D74" s="4">
        <v>399268</v>
      </c>
      <c r="E74" s="4">
        <f t="shared" si="7"/>
        <v>4621.1574074074069</v>
      </c>
      <c r="F74" s="5">
        <f t="shared" si="4"/>
        <v>-4.4225302508113006E-3</v>
      </c>
      <c r="G74" s="7">
        <v>37.97486855676587</v>
      </c>
      <c r="H74" s="7">
        <v>25.548625191819074</v>
      </c>
      <c r="I74" s="3">
        <v>77760.000000000218</v>
      </c>
      <c r="J74" s="6">
        <f t="shared" si="5"/>
        <v>0.1956177203089236</v>
      </c>
    </row>
    <row r="75" spans="1:10" x14ac:dyDescent="0.35">
      <c r="A75" s="2">
        <v>45120</v>
      </c>
      <c r="B75" s="3">
        <v>399080</v>
      </c>
      <c r="C75" s="4">
        <f t="shared" si="6"/>
        <v>4618.9814814814808</v>
      </c>
      <c r="D75" s="4">
        <v>399706</v>
      </c>
      <c r="E75" s="4">
        <f t="shared" si="7"/>
        <v>4626.2268518518513</v>
      </c>
      <c r="F75" s="5">
        <f t="shared" si="4"/>
        <v>-1.5686077979352512E-3</v>
      </c>
      <c r="G75" s="7">
        <v>35.903287561391203</v>
      </c>
      <c r="H75" s="7">
        <v>25.107672647088304</v>
      </c>
      <c r="I75" s="3">
        <v>77639.999999981228</v>
      </c>
      <c r="J75" s="6">
        <f t="shared" si="5"/>
        <v>0.1945474591560119</v>
      </c>
    </row>
    <row r="76" spans="1:10" x14ac:dyDescent="0.35">
      <c r="A76" s="2">
        <v>45121</v>
      </c>
      <c r="B76" s="3">
        <v>399260</v>
      </c>
      <c r="C76" s="4">
        <f t="shared" si="6"/>
        <v>4621.0648148148148</v>
      </c>
      <c r="D76" s="4">
        <v>398928</v>
      </c>
      <c r="E76" s="4">
        <f t="shared" si="7"/>
        <v>4617.2222222222217</v>
      </c>
      <c r="F76" s="5">
        <f t="shared" si="4"/>
        <v>8.3153834593998894E-4</v>
      </c>
      <c r="G76" s="7">
        <v>36.527540950758905</v>
      </c>
      <c r="H76" s="7">
        <v>25.351570405249714</v>
      </c>
      <c r="I76" s="3">
        <v>76320.000000012442</v>
      </c>
      <c r="J76" s="6">
        <f t="shared" si="5"/>
        <v>0.1911536342233443</v>
      </c>
    </row>
    <row r="77" spans="1:10" x14ac:dyDescent="0.35">
      <c r="A77" s="2">
        <v>45122</v>
      </c>
      <c r="B77" s="3">
        <v>397460</v>
      </c>
      <c r="C77" s="4">
        <f t="shared" si="6"/>
        <v>4600.2314814814808</v>
      </c>
      <c r="D77" s="4">
        <v>398280</v>
      </c>
      <c r="E77" s="4">
        <f t="shared" si="7"/>
        <v>4609.7222222222217</v>
      </c>
      <c r="F77" s="5">
        <f t="shared" si="4"/>
        <v>-2.0631006893775472E-3</v>
      </c>
      <c r="G77" s="7">
        <v>37.336305540180142</v>
      </c>
      <c r="H77" s="7">
        <v>25.551839178785286</v>
      </c>
      <c r="I77" s="3">
        <v>75840.000000007421</v>
      </c>
      <c r="J77" s="6">
        <f t="shared" si="5"/>
        <v>0.1908116540029372</v>
      </c>
    </row>
    <row r="78" spans="1:10" x14ac:dyDescent="0.35">
      <c r="A78" s="2">
        <v>45123</v>
      </c>
      <c r="B78" s="3">
        <v>397180</v>
      </c>
      <c r="C78" s="4">
        <f t="shared" si="6"/>
        <v>4596.9907407407409</v>
      </c>
      <c r="D78" s="4">
        <v>398708</v>
      </c>
      <c r="E78" s="4">
        <f t="shared" si="7"/>
        <v>4614.6759259259252</v>
      </c>
      <c r="F78" s="5">
        <f t="shared" si="4"/>
        <v>-3.8471222115917217E-3</v>
      </c>
      <c r="G78" s="7">
        <v>36.7188327710358</v>
      </c>
      <c r="H78" s="7">
        <v>25.569852459841886</v>
      </c>
      <c r="I78" s="3">
        <v>75119.999999986248</v>
      </c>
      <c r="J78" s="6">
        <f t="shared" si="5"/>
        <v>0.18913339040230184</v>
      </c>
    </row>
    <row r="79" spans="1:10" x14ac:dyDescent="0.35">
      <c r="A79" s="8">
        <v>45124</v>
      </c>
      <c r="B79" s="3">
        <v>399970</v>
      </c>
      <c r="C79" s="4">
        <f t="shared" si="6"/>
        <v>4629.2824074074069</v>
      </c>
      <c r="D79" s="4">
        <v>400172</v>
      </c>
      <c r="E79" s="4">
        <f t="shared" si="7"/>
        <v>4631.6203703703704</v>
      </c>
      <c r="F79" s="5">
        <f t="shared" si="4"/>
        <v>-5.0503787784083806E-4</v>
      </c>
      <c r="G79" s="7">
        <v>40.937820336525242</v>
      </c>
      <c r="H79" s="7">
        <v>25.3631822386679</v>
      </c>
      <c r="I79" s="3">
        <v>75600.00000000764</v>
      </c>
      <c r="J79" s="6">
        <f t="shared" si="5"/>
        <v>0.18901417606322385</v>
      </c>
    </row>
    <row r="80" spans="1:10" x14ac:dyDescent="0.35">
      <c r="A80" s="2">
        <v>45125</v>
      </c>
      <c r="B80" s="3">
        <v>398900</v>
      </c>
      <c r="C80" s="4">
        <f t="shared" si="6"/>
        <v>4616.8981481481478</v>
      </c>
      <c r="D80" s="4">
        <v>398624</v>
      </c>
      <c r="E80" s="4">
        <f t="shared" si="7"/>
        <v>4613.7037037037035</v>
      </c>
      <c r="F80" s="5">
        <f t="shared" si="4"/>
        <v>6.9190273251441468E-4</v>
      </c>
      <c r="G80" s="7">
        <v>35.272847831536723</v>
      </c>
      <c r="H80" s="7">
        <v>25.346066683379291</v>
      </c>
      <c r="I80" s="3">
        <v>76320.000000001528</v>
      </c>
      <c r="J80" s="6">
        <f t="shared" si="5"/>
        <v>0.1913261469039898</v>
      </c>
    </row>
    <row r="81" spans="1:10" x14ac:dyDescent="0.35">
      <c r="A81" s="2">
        <v>45126</v>
      </c>
      <c r="B81" s="3">
        <v>397380</v>
      </c>
      <c r="C81" s="4">
        <f t="shared" si="6"/>
        <v>4599.3055555555557</v>
      </c>
      <c r="D81" s="4">
        <v>398832</v>
      </c>
      <c r="E81" s="4">
        <f t="shared" si="7"/>
        <v>4616.1111111111104</v>
      </c>
      <c r="F81" s="5">
        <f t="shared" si="4"/>
        <v>-3.6539332628718105E-3</v>
      </c>
      <c r="G81" s="7">
        <v>36.700352307614878</v>
      </c>
      <c r="H81" s="7">
        <v>25.5</v>
      </c>
      <c r="I81" s="3">
        <v>75599.999999991269</v>
      </c>
      <c r="J81" s="6">
        <f t="shared" si="5"/>
        <v>0.19024611203379957</v>
      </c>
    </row>
    <row r="82" spans="1:10" x14ac:dyDescent="0.35">
      <c r="A82" s="2">
        <v>45127</v>
      </c>
      <c r="B82" s="3">
        <v>400540</v>
      </c>
      <c r="C82" s="4">
        <f t="shared" si="6"/>
        <v>4635.8796296296296</v>
      </c>
      <c r="D82" s="4">
        <v>399470</v>
      </c>
      <c r="E82" s="4">
        <f t="shared" si="7"/>
        <v>4623.4953703703704</v>
      </c>
      <c r="F82" s="5">
        <f t="shared" si="4"/>
        <v>2.67139361861487E-3</v>
      </c>
      <c r="G82" s="7">
        <v>37.049203575173514</v>
      </c>
      <c r="H82" s="7">
        <v>25.298821590852349</v>
      </c>
      <c r="I82" s="3">
        <v>75719.999999993888</v>
      </c>
      <c r="J82" s="6">
        <f t="shared" si="5"/>
        <v>0.18904478953411366</v>
      </c>
    </row>
    <row r="83" spans="1:10" x14ac:dyDescent="0.35">
      <c r="A83" s="2">
        <v>45128</v>
      </c>
      <c r="B83" s="3">
        <v>400670</v>
      </c>
      <c r="C83" s="4">
        <f t="shared" si="6"/>
        <v>4637.3842592592591</v>
      </c>
      <c r="D83" s="4">
        <v>399312</v>
      </c>
      <c r="E83" s="4">
        <f t="shared" si="7"/>
        <v>4621.6666666666661</v>
      </c>
      <c r="F83" s="5">
        <f t="shared" si="4"/>
        <v>3.3893228841690168E-3</v>
      </c>
      <c r="G83" s="7">
        <v>38.313554795717174</v>
      </c>
      <c r="H83" s="7">
        <v>25.290613222851725</v>
      </c>
      <c r="I83" s="3">
        <v>77879.999999997381</v>
      </c>
      <c r="J83" s="6">
        <f t="shared" si="5"/>
        <v>0.19437442284173354</v>
      </c>
    </row>
    <row r="84" spans="1:10" x14ac:dyDescent="0.35">
      <c r="A84" s="2">
        <v>45129</v>
      </c>
      <c r="B84" s="3">
        <v>399360</v>
      </c>
      <c r="C84" s="4">
        <f t="shared" si="6"/>
        <v>4622.2222222222217</v>
      </c>
      <c r="D84" s="4">
        <v>398460</v>
      </c>
      <c r="E84" s="4">
        <f t="shared" si="7"/>
        <v>4611.8055555555557</v>
      </c>
      <c r="F84" s="5">
        <f t="shared" si="4"/>
        <v>2.253605769230769E-3</v>
      </c>
      <c r="G84" s="7">
        <v>37.158673878205128</v>
      </c>
      <c r="H84" s="7">
        <v>25.373572716346153</v>
      </c>
      <c r="I84" s="3">
        <v>74760.000000005675</v>
      </c>
      <c r="J84" s="6">
        <f t="shared" si="5"/>
        <v>0.18719951923078343</v>
      </c>
    </row>
    <row r="85" spans="1:10" x14ac:dyDescent="0.35">
      <c r="A85" s="2">
        <v>45130</v>
      </c>
      <c r="B85" s="3">
        <v>397410</v>
      </c>
      <c r="C85" s="4">
        <f t="shared" si="6"/>
        <v>4599.6527777777774</v>
      </c>
      <c r="D85" s="4">
        <v>397568</v>
      </c>
      <c r="E85" s="4">
        <f t="shared" si="7"/>
        <v>4601.4814814814808</v>
      </c>
      <c r="F85" s="5">
        <f t="shared" si="4"/>
        <v>-3.9757429355074105E-4</v>
      </c>
      <c r="G85" s="7">
        <v>37.341002994388667</v>
      </c>
      <c r="H85" s="7">
        <v>25.498075035857177</v>
      </c>
      <c r="I85" s="3">
        <v>74280.000000000655</v>
      </c>
      <c r="J85" s="6">
        <f t="shared" si="5"/>
        <v>0.18691024382879307</v>
      </c>
    </row>
    <row r="86" spans="1:10" x14ac:dyDescent="0.35">
      <c r="A86" s="8">
        <v>45131</v>
      </c>
      <c r="B86" s="3">
        <v>398500</v>
      </c>
      <c r="C86" s="4">
        <f t="shared" si="6"/>
        <v>4612.2685185185182</v>
      </c>
      <c r="D86" s="4">
        <v>398312</v>
      </c>
      <c r="E86" s="4">
        <f t="shared" si="7"/>
        <v>4610.0925925925922</v>
      </c>
      <c r="F86" s="5">
        <f t="shared" si="4"/>
        <v>4.7176913425345045E-4</v>
      </c>
      <c r="G86" s="7">
        <v>37.238865746549564</v>
      </c>
      <c r="H86" s="7">
        <v>23.894107904642411</v>
      </c>
      <c r="I86" s="3">
        <v>73560.00000000131</v>
      </c>
      <c r="J86" s="6">
        <f t="shared" si="5"/>
        <v>0.18459222082810869</v>
      </c>
    </row>
    <row r="87" spans="1:10" x14ac:dyDescent="0.35">
      <c r="A87" s="2">
        <v>45132</v>
      </c>
      <c r="B87" s="3">
        <v>400330</v>
      </c>
      <c r="C87" s="4">
        <f t="shared" si="6"/>
        <v>4633.4490740740739</v>
      </c>
      <c r="D87" s="4">
        <v>398492</v>
      </c>
      <c r="E87" s="4">
        <f t="shared" si="7"/>
        <v>4612.1759259259252</v>
      </c>
      <c r="F87" s="5">
        <f t="shared" si="4"/>
        <v>4.5912122498938373E-3</v>
      </c>
      <c r="G87" s="7">
        <v>37.06863837334199</v>
      </c>
      <c r="H87" s="7">
        <v>25.170684185546925</v>
      </c>
      <c r="I87" s="3">
        <v>74999.999999989086</v>
      </c>
      <c r="J87" s="6">
        <f t="shared" si="5"/>
        <v>0.18734544001196285</v>
      </c>
    </row>
    <row r="88" spans="1:10" x14ac:dyDescent="0.35">
      <c r="A88" s="2">
        <v>45133</v>
      </c>
      <c r="B88" s="3">
        <v>400640</v>
      </c>
      <c r="C88" s="4">
        <f t="shared" si="6"/>
        <v>4637.0370370370365</v>
      </c>
      <c r="D88" s="4">
        <v>398000</v>
      </c>
      <c r="E88" s="4">
        <f t="shared" si="7"/>
        <v>4606.4814814814808</v>
      </c>
      <c r="F88" s="5">
        <f t="shared" si="4"/>
        <v>6.5894568690095844E-3</v>
      </c>
      <c r="G88" s="7">
        <v>37.678189896166131</v>
      </c>
      <c r="H88" s="7">
        <v>25.292506988817891</v>
      </c>
      <c r="I88" s="3">
        <v>74640.000000019427</v>
      </c>
      <c r="J88" s="6">
        <f t="shared" si="5"/>
        <v>0.18630191693295584</v>
      </c>
    </row>
    <row r="89" spans="1:10" x14ac:dyDescent="0.35">
      <c r="A89" s="2">
        <v>45134</v>
      </c>
      <c r="B89" s="3">
        <v>396480</v>
      </c>
      <c r="C89" s="4">
        <f t="shared" si="6"/>
        <v>4588.8888888888887</v>
      </c>
      <c r="D89" s="4">
        <v>396526</v>
      </c>
      <c r="E89" s="4">
        <f t="shared" si="7"/>
        <v>4589.4212962962956</v>
      </c>
      <c r="F89" s="5">
        <f t="shared" si="4"/>
        <v>-1.1602098466505246E-4</v>
      </c>
      <c r="G89" s="7">
        <v>37.428591606133978</v>
      </c>
      <c r="H89" s="7">
        <v>25.52932808716707</v>
      </c>
      <c r="I89" s="3">
        <v>74639.999999997599</v>
      </c>
      <c r="J89" s="6">
        <f t="shared" si="5"/>
        <v>0.18825665859563559</v>
      </c>
    </row>
    <row r="90" spans="1:10" x14ac:dyDescent="0.35">
      <c r="A90" s="2">
        <v>45135</v>
      </c>
      <c r="B90" s="3">
        <v>401080</v>
      </c>
      <c r="C90" s="4">
        <f t="shared" si="6"/>
        <v>4642.1296296296296</v>
      </c>
      <c r="D90" s="4">
        <v>397408</v>
      </c>
      <c r="E90" s="4">
        <f t="shared" si="7"/>
        <v>4599.6296296296296</v>
      </c>
      <c r="F90" s="5">
        <f t="shared" si="4"/>
        <v>9.15528074199661E-3</v>
      </c>
      <c r="G90" s="7">
        <v>36.99932183105615</v>
      </c>
      <c r="H90" s="7">
        <v>25.264760147601475</v>
      </c>
      <c r="I90" s="3">
        <v>74280.000000000655</v>
      </c>
      <c r="J90" s="6">
        <f t="shared" si="5"/>
        <v>0.18519996010771081</v>
      </c>
    </row>
    <row r="91" spans="1:10" x14ac:dyDescent="0.35">
      <c r="A91" s="2">
        <v>45136</v>
      </c>
      <c r="B91" s="3">
        <v>397960</v>
      </c>
      <c r="C91" s="4">
        <f t="shared" si="6"/>
        <v>4606.0185185185182</v>
      </c>
      <c r="D91" s="4">
        <v>396564</v>
      </c>
      <c r="E91" s="4">
        <f t="shared" si="7"/>
        <v>4589.8611111111104</v>
      </c>
      <c r="F91" s="5">
        <f t="shared" si="4"/>
        <v>3.5078902402251484E-3</v>
      </c>
      <c r="G91" s="7">
        <v>35.99869584882903</v>
      </c>
      <c r="H91" s="7">
        <v>25.434385365363354</v>
      </c>
      <c r="I91" s="3">
        <v>75600.000000002183</v>
      </c>
      <c r="J91" s="6">
        <f t="shared" si="5"/>
        <v>0.18996884108956222</v>
      </c>
    </row>
    <row r="92" spans="1:10" x14ac:dyDescent="0.35">
      <c r="A92" s="2">
        <v>45137</v>
      </c>
      <c r="B92" s="3">
        <v>398280</v>
      </c>
      <c r="C92" s="4">
        <f t="shared" si="6"/>
        <v>4609.7222222222217</v>
      </c>
      <c r="D92" s="4">
        <v>396914</v>
      </c>
      <c r="E92" s="4">
        <f t="shared" si="7"/>
        <v>4593.9120370370365</v>
      </c>
      <c r="F92" s="5">
        <f t="shared" si="4"/>
        <v>3.4297479160389677E-3</v>
      </c>
      <c r="G92" s="7">
        <v>35.969772521843929</v>
      </c>
      <c r="H92" s="7">
        <v>25.186532087978307</v>
      </c>
      <c r="I92" s="3">
        <v>74159.999999981665</v>
      </c>
      <c r="J92" s="6">
        <f t="shared" si="5"/>
        <v>0.18620066285021006</v>
      </c>
    </row>
    <row r="93" spans="1:10" x14ac:dyDescent="0.35">
      <c r="A93" s="8">
        <v>45138</v>
      </c>
      <c r="B93" s="3">
        <v>397740</v>
      </c>
      <c r="C93" s="4">
        <f t="shared" si="6"/>
        <v>4603.4722222222217</v>
      </c>
      <c r="D93" s="4">
        <v>398334</v>
      </c>
      <c r="E93" s="4">
        <f t="shared" si="7"/>
        <v>4610.3472222222217</v>
      </c>
      <c r="F93" s="5">
        <f t="shared" si="4"/>
        <v>-1.4934379242721376E-3</v>
      </c>
      <c r="G93" s="7">
        <v>37.952908935485496</v>
      </c>
      <c r="H93" s="7">
        <v>25.476919595715795</v>
      </c>
      <c r="I93" s="3">
        <v>74280.000000006112</v>
      </c>
      <c r="J93" s="6">
        <f t="shared" si="5"/>
        <v>0.1867551666918241</v>
      </c>
    </row>
    <row r="94" spans="1:10" x14ac:dyDescent="0.35">
      <c r="A94" s="2">
        <v>45139</v>
      </c>
      <c r="B94" s="3">
        <v>398300</v>
      </c>
      <c r="C94" s="4">
        <f t="shared" si="6"/>
        <v>4609.9537037037035</v>
      </c>
      <c r="D94" s="4">
        <v>397304</v>
      </c>
      <c r="E94" s="4">
        <f t="shared" si="7"/>
        <v>4598.4259259259252</v>
      </c>
      <c r="F94" s="5">
        <f t="shared" si="4"/>
        <v>2.500627667587246E-3</v>
      </c>
      <c r="G94" s="7">
        <v>37.534117091707344</v>
      </c>
      <c r="H94" s="7">
        <v>24.163764336073143</v>
      </c>
      <c r="I94" s="3">
        <v>75239.999999994325</v>
      </c>
      <c r="J94" s="6">
        <f t="shared" si="5"/>
        <v>0.18890283705748009</v>
      </c>
    </row>
    <row r="95" spans="1:10" x14ac:dyDescent="0.35">
      <c r="A95" s="2">
        <v>45140</v>
      </c>
      <c r="B95" s="3">
        <v>400150</v>
      </c>
      <c r="C95" s="4">
        <f t="shared" si="6"/>
        <v>4631.3657407407409</v>
      </c>
      <c r="D95" s="4">
        <v>397402</v>
      </c>
      <c r="E95" s="4">
        <f t="shared" si="7"/>
        <v>4599.5601851851852</v>
      </c>
      <c r="F95" s="5">
        <f t="shared" si="4"/>
        <v>6.8674247157316003E-3</v>
      </c>
      <c r="G95" s="7">
        <v>36.067422666894359</v>
      </c>
      <c r="H95" s="7">
        <v>24.929241188042834</v>
      </c>
      <c r="I95" s="3">
        <v>74520.000000005894</v>
      </c>
      <c r="J95" s="6">
        <f t="shared" si="5"/>
        <v>0.18623016368863149</v>
      </c>
    </row>
    <row r="96" spans="1:10" x14ac:dyDescent="0.35">
      <c r="A96" s="2">
        <v>45141</v>
      </c>
      <c r="B96" s="3">
        <v>401220</v>
      </c>
      <c r="C96" s="4">
        <f t="shared" si="6"/>
        <v>4643.75</v>
      </c>
      <c r="D96" s="4">
        <v>397776</v>
      </c>
      <c r="E96" s="4">
        <f t="shared" si="7"/>
        <v>4603.8888888888887</v>
      </c>
      <c r="F96" s="5">
        <f t="shared" si="4"/>
        <v>8.5838193509795123E-3</v>
      </c>
      <c r="G96" s="7">
        <v>37.260951192929156</v>
      </c>
      <c r="H96" s="7">
        <v>25.060305695661892</v>
      </c>
      <c r="I96" s="3">
        <v>75360.000000013315</v>
      </c>
      <c r="J96" s="6">
        <f t="shared" si="5"/>
        <v>0.18782712726188455</v>
      </c>
    </row>
    <row r="97" spans="1:10" x14ac:dyDescent="0.35">
      <c r="A97" s="2">
        <v>45142</v>
      </c>
      <c r="B97" s="3">
        <v>400160</v>
      </c>
      <c r="C97" s="4">
        <f t="shared" si="6"/>
        <v>4631.4814814814808</v>
      </c>
      <c r="D97" s="4">
        <v>396898</v>
      </c>
      <c r="E97" s="4">
        <f t="shared" si="7"/>
        <v>4593.7268518518513</v>
      </c>
      <c r="F97" s="5">
        <f t="shared" si="4"/>
        <v>8.1517393042782882E-3</v>
      </c>
      <c r="G97" s="7">
        <v>38.647138259538771</v>
      </c>
      <c r="H97" s="7">
        <v>25.324759698699491</v>
      </c>
      <c r="I97" s="3">
        <v>75239.999999999782</v>
      </c>
      <c r="J97" s="6">
        <f t="shared" si="5"/>
        <v>0.18802479008396586</v>
      </c>
    </row>
    <row r="98" spans="1:10" x14ac:dyDescent="0.35">
      <c r="A98" s="2">
        <v>45143</v>
      </c>
      <c r="B98" s="3">
        <v>396790</v>
      </c>
      <c r="C98" s="4">
        <f t="shared" si="6"/>
        <v>4592.4768518518513</v>
      </c>
      <c r="D98" s="4">
        <v>395092</v>
      </c>
      <c r="E98" s="4">
        <f t="shared" si="7"/>
        <v>4572.8240740740739</v>
      </c>
      <c r="F98" s="5">
        <f t="shared" si="4"/>
        <v>4.2793417172811814E-3</v>
      </c>
      <c r="G98" s="7">
        <v>37.676954655175372</v>
      </c>
      <c r="H98" s="7">
        <v>25.539846873740743</v>
      </c>
      <c r="I98" s="3">
        <v>75479.99999998865</v>
      </c>
      <c r="J98" s="6">
        <f t="shared" si="5"/>
        <v>0.19022656820985573</v>
      </c>
    </row>
    <row r="99" spans="1:10" x14ac:dyDescent="0.35">
      <c r="A99" s="2">
        <v>45144</v>
      </c>
      <c r="B99" s="3">
        <v>394440</v>
      </c>
      <c r="C99" s="4">
        <f t="shared" si="6"/>
        <v>4565.2777777777774</v>
      </c>
      <c r="D99" s="4">
        <v>395918</v>
      </c>
      <c r="E99" s="4">
        <f t="shared" si="7"/>
        <v>4582.3842592592591</v>
      </c>
      <c r="F99" s="5">
        <f t="shared" si="4"/>
        <v>-3.7470844741912587E-3</v>
      </c>
      <c r="G99" s="7">
        <v>37.901426928371954</v>
      </c>
      <c r="H99" s="7">
        <v>25.692008521021165</v>
      </c>
      <c r="I99" s="3">
        <v>74520.000000005894</v>
      </c>
      <c r="J99" s="6">
        <f t="shared" si="5"/>
        <v>0.18892607240646458</v>
      </c>
    </row>
    <row r="100" spans="1:10" x14ac:dyDescent="0.35">
      <c r="A100" s="8">
        <v>45145</v>
      </c>
      <c r="B100" s="3">
        <v>399040</v>
      </c>
      <c r="C100" s="4">
        <f t="shared" si="6"/>
        <v>4618.5185185185182</v>
      </c>
      <c r="D100" s="4">
        <v>397931</v>
      </c>
      <c r="E100" s="4">
        <f t="shared" si="7"/>
        <v>4605.6828703703704</v>
      </c>
      <c r="F100" s="5">
        <f t="shared" si="4"/>
        <v>2.7791700080192464E-3</v>
      </c>
      <c r="G100" s="7">
        <v>37.464511922682021</v>
      </c>
      <c r="H100" s="7">
        <v>25.395839617661359</v>
      </c>
      <c r="I100" s="3">
        <v>73679.999999993015</v>
      </c>
      <c r="J100" s="6">
        <f t="shared" si="5"/>
        <v>0.18464314354448932</v>
      </c>
    </row>
    <row r="101" spans="1:10" x14ac:dyDescent="0.35">
      <c r="A101" s="2">
        <v>45146</v>
      </c>
      <c r="B101" s="3">
        <v>400520</v>
      </c>
      <c r="C101" s="4">
        <f t="shared" si="6"/>
        <v>4635.6481481481478</v>
      </c>
      <c r="D101" s="4">
        <v>398081</v>
      </c>
      <c r="E101" s="4">
        <f t="shared" si="7"/>
        <v>4607.4189814814808</v>
      </c>
      <c r="F101" s="5">
        <f t="shared" si="4"/>
        <v>6.0895835413961848E-3</v>
      </c>
      <c r="G101" s="7">
        <v>36.034103615694043</v>
      </c>
      <c r="H101" s="7">
        <v>25.132374680170198</v>
      </c>
      <c r="I101" s="3">
        <v>76199.999999998909</v>
      </c>
      <c r="J101" s="6">
        <f t="shared" si="5"/>
        <v>0.19025267152701217</v>
      </c>
    </row>
    <row r="102" spans="1:10" x14ac:dyDescent="0.35">
      <c r="A102" s="2">
        <v>45147</v>
      </c>
      <c r="B102" s="3">
        <v>401100</v>
      </c>
      <c r="C102" s="4">
        <f t="shared" si="6"/>
        <v>4642.3611111111104</v>
      </c>
      <c r="D102" s="4">
        <v>398823</v>
      </c>
      <c r="E102" s="4">
        <f t="shared" si="7"/>
        <v>4616.0069444444443</v>
      </c>
      <c r="F102" s="5">
        <f t="shared" si="4"/>
        <v>5.6768885564697086E-3</v>
      </c>
      <c r="G102" s="7">
        <v>35.981997457386633</v>
      </c>
      <c r="H102" s="7">
        <v>25.237180217759374</v>
      </c>
      <c r="I102" s="3">
        <v>75480.000000010477</v>
      </c>
      <c r="J102" s="6">
        <f t="shared" si="5"/>
        <v>0.18818249813016824</v>
      </c>
    </row>
    <row r="103" spans="1:10" x14ac:dyDescent="0.35">
      <c r="A103" s="2">
        <v>45148</v>
      </c>
      <c r="B103" s="3">
        <v>398620</v>
      </c>
      <c r="C103" s="4">
        <f t="shared" si="6"/>
        <v>4613.6574074074069</v>
      </c>
      <c r="D103" s="4">
        <v>397335</v>
      </c>
      <c r="E103" s="4">
        <f t="shared" si="7"/>
        <v>4598.7847222222217</v>
      </c>
      <c r="F103" s="5">
        <f t="shared" si="4"/>
        <v>3.2236214941548341E-3</v>
      </c>
      <c r="G103" s="7">
        <v>34.913399156710099</v>
      </c>
      <c r="H103" s="7">
        <v>25.45100270111859</v>
      </c>
      <c r="I103" s="3">
        <v>74999.999999983629</v>
      </c>
      <c r="J103" s="6">
        <f t="shared" si="5"/>
        <v>0.1881491144447936</v>
      </c>
    </row>
    <row r="104" spans="1:10" x14ac:dyDescent="0.35">
      <c r="A104" s="2">
        <v>45149</v>
      </c>
      <c r="B104" s="3">
        <v>399720</v>
      </c>
      <c r="C104" s="4">
        <f t="shared" si="6"/>
        <v>4626.3888888888887</v>
      </c>
      <c r="D104" s="4">
        <v>396800</v>
      </c>
      <c r="E104" s="4">
        <f t="shared" si="7"/>
        <v>4592.5925925925922</v>
      </c>
      <c r="F104" s="5">
        <f t="shared" si="4"/>
        <v>7.3051135795056538E-3</v>
      </c>
      <c r="G104" s="7">
        <v>38.689679890766122</v>
      </c>
      <c r="H104" s="7">
        <v>25.635906129076915</v>
      </c>
      <c r="I104" s="3">
        <v>76320.000000012442</v>
      </c>
      <c r="J104" s="6">
        <f t="shared" si="5"/>
        <v>0.19093365355752137</v>
      </c>
    </row>
    <row r="105" spans="1:10" x14ac:dyDescent="0.35">
      <c r="A105" s="2">
        <v>45150</v>
      </c>
      <c r="B105" s="3">
        <v>401770</v>
      </c>
      <c r="C105" s="4">
        <f t="shared" si="6"/>
        <v>4650.1157407407409</v>
      </c>
      <c r="D105" s="4">
        <v>396860</v>
      </c>
      <c r="E105" s="4">
        <f t="shared" si="7"/>
        <v>4593.2870370370365</v>
      </c>
      <c r="F105" s="5">
        <f t="shared" si="4"/>
        <v>1.2220922418299026E-2</v>
      </c>
      <c r="G105" s="7">
        <v>35.921993130790696</v>
      </c>
      <c r="H105" s="7">
        <v>25.505100923201393</v>
      </c>
      <c r="I105" s="3">
        <v>75119.999999997162</v>
      </c>
      <c r="J105" s="6">
        <f t="shared" si="5"/>
        <v>0.18697264604126032</v>
      </c>
    </row>
    <row r="106" spans="1:10" x14ac:dyDescent="0.35">
      <c r="A106" s="2">
        <v>45151</v>
      </c>
      <c r="B106" s="3">
        <v>395800</v>
      </c>
      <c r="C106" s="4">
        <f t="shared" si="6"/>
        <v>4581.0185185185182</v>
      </c>
      <c r="D106" s="4">
        <v>396188</v>
      </c>
      <c r="E106" s="4">
        <f t="shared" si="7"/>
        <v>4585.5092592592591</v>
      </c>
      <c r="F106" s="5">
        <f t="shared" si="4"/>
        <v>-9.8029307731177366E-4</v>
      </c>
      <c r="G106" s="7">
        <v>36.446690835472502</v>
      </c>
      <c r="H106" s="7">
        <v>26.032841526923043</v>
      </c>
      <c r="I106" s="3">
        <v>74999.999999994543</v>
      </c>
      <c r="J106" s="6">
        <f t="shared" si="5"/>
        <v>0.18948964123293213</v>
      </c>
    </row>
    <row r="107" spans="1:10" x14ac:dyDescent="0.35">
      <c r="A107" s="8">
        <v>45152</v>
      </c>
      <c r="B107" s="3">
        <v>399570</v>
      </c>
      <c r="C107" s="4">
        <f t="shared" si="6"/>
        <v>4624.6527777777774</v>
      </c>
      <c r="D107" s="4">
        <v>398528</v>
      </c>
      <c r="E107" s="4">
        <f t="shared" si="7"/>
        <v>4612.5925925925922</v>
      </c>
      <c r="F107" s="5">
        <f t="shared" si="4"/>
        <v>2.6078033886427908E-3</v>
      </c>
      <c r="G107" s="7">
        <v>36.119776710358082</v>
      </c>
      <c r="H107" s="7">
        <v>25.7872179501868</v>
      </c>
      <c r="I107" s="3">
        <v>75120.000000013533</v>
      </c>
      <c r="J107" s="6">
        <f t="shared" si="5"/>
        <v>0.18800210225996331</v>
      </c>
    </row>
    <row r="108" spans="1:10" x14ac:dyDescent="0.35">
      <c r="A108" s="2">
        <v>45153</v>
      </c>
      <c r="B108" s="3">
        <v>397870</v>
      </c>
      <c r="C108" s="4">
        <f t="shared" si="6"/>
        <v>4604.9768518518513</v>
      </c>
      <c r="D108" s="4">
        <v>397238</v>
      </c>
      <c r="E108" s="4">
        <f t="shared" si="7"/>
        <v>4597.6620370370365</v>
      </c>
      <c r="F108" s="5">
        <f t="shared" si="4"/>
        <v>1.5884585417347374E-3</v>
      </c>
      <c r="G108" s="7">
        <v>34.984891600289117</v>
      </c>
      <c r="H108" s="7">
        <v>26.039693756246155</v>
      </c>
      <c r="I108" s="3">
        <v>74399.999999986903</v>
      </c>
      <c r="J108" s="6">
        <f t="shared" si="5"/>
        <v>0.18699575238139821</v>
      </c>
    </row>
    <row r="109" spans="1:10" x14ac:dyDescent="0.35">
      <c r="A109" s="2">
        <v>45154</v>
      </c>
      <c r="B109" s="3">
        <v>396420</v>
      </c>
      <c r="C109" s="4">
        <f t="shared" si="6"/>
        <v>4588.1944444444443</v>
      </c>
      <c r="D109" s="4">
        <v>395618</v>
      </c>
      <c r="E109" s="4">
        <f t="shared" si="7"/>
        <v>4578.9120370370365</v>
      </c>
      <c r="F109" s="5">
        <f t="shared" si="4"/>
        <v>2.0231068059129208E-3</v>
      </c>
      <c r="G109" s="7">
        <v>37.06230471084212</v>
      </c>
      <c r="H109" s="7">
        <v>26.077814548764064</v>
      </c>
      <c r="I109" s="3">
        <v>75720.000000021173</v>
      </c>
      <c r="J109" s="6">
        <f t="shared" si="5"/>
        <v>0.19100953534135809</v>
      </c>
    </row>
    <row r="110" spans="1:10" x14ac:dyDescent="0.35">
      <c r="A110" s="2">
        <v>45155</v>
      </c>
      <c r="B110" s="3">
        <v>394640</v>
      </c>
      <c r="C110" s="4">
        <f t="shared" si="6"/>
        <v>4567.5925925925922</v>
      </c>
      <c r="D110" s="4">
        <v>394424</v>
      </c>
      <c r="E110" s="4">
        <f t="shared" si="7"/>
        <v>4565.0925925925922</v>
      </c>
      <c r="F110" s="5">
        <f t="shared" si="4"/>
        <v>5.4733427934319887E-4</v>
      </c>
      <c r="G110" s="7">
        <v>37.229472008595259</v>
      </c>
      <c r="H110" s="7">
        <v>26.023287323361114</v>
      </c>
      <c r="I110" s="3">
        <v>74039.999999984502</v>
      </c>
      <c r="J110" s="6">
        <f t="shared" si="5"/>
        <v>0.1876140279748239</v>
      </c>
    </row>
    <row r="111" spans="1:10" x14ac:dyDescent="0.35">
      <c r="A111" s="2">
        <v>45156</v>
      </c>
      <c r="B111" s="3">
        <v>396610</v>
      </c>
      <c r="C111" s="4">
        <f t="shared" si="6"/>
        <v>4590.3935185185182</v>
      </c>
      <c r="D111" s="4">
        <v>396390</v>
      </c>
      <c r="E111" s="4">
        <f t="shared" si="7"/>
        <v>4587.8472222222217</v>
      </c>
      <c r="F111" s="5">
        <f t="shared" si="4"/>
        <v>5.5470109175260335E-4</v>
      </c>
      <c r="G111" s="7">
        <v>37.694054203441759</v>
      </c>
      <c r="H111" s="7">
        <v>25.979674431698999</v>
      </c>
      <c r="I111" s="3">
        <v>74520.00000001135</v>
      </c>
      <c r="J111" s="6">
        <f t="shared" si="5"/>
        <v>0.1878923879882286</v>
      </c>
    </row>
    <row r="112" spans="1:10" x14ac:dyDescent="0.35">
      <c r="A112" s="2">
        <v>45157</v>
      </c>
      <c r="B112" s="3">
        <v>401780</v>
      </c>
      <c r="C112" s="4">
        <f t="shared" si="6"/>
        <v>4650.2314814814808</v>
      </c>
      <c r="D112" s="4">
        <v>395862</v>
      </c>
      <c r="E112" s="4">
        <f t="shared" si="7"/>
        <v>4581.7361111111104</v>
      </c>
      <c r="F112" s="5">
        <f t="shared" si="4"/>
        <v>1.472945393001145E-2</v>
      </c>
      <c r="G112" s="7">
        <v>37.209016968557506</v>
      </c>
      <c r="H112" s="7">
        <v>25.504466120550113</v>
      </c>
      <c r="I112" s="3">
        <v>74159.999999992579</v>
      </c>
      <c r="J112" s="6">
        <f t="shared" si="5"/>
        <v>0.18457862511820544</v>
      </c>
    </row>
    <row r="113" spans="1:10" x14ac:dyDescent="0.35">
      <c r="A113" s="2">
        <v>45158</v>
      </c>
      <c r="B113" s="3">
        <v>398470</v>
      </c>
      <c r="C113" s="4">
        <f t="shared" si="6"/>
        <v>4611.9212962962956</v>
      </c>
      <c r="D113" s="4">
        <v>395910</v>
      </c>
      <c r="E113" s="4">
        <f t="shared" si="7"/>
        <v>4582.2916666666661</v>
      </c>
      <c r="F113" s="5">
        <f t="shared" si="4"/>
        <v>6.4245739955329133E-3</v>
      </c>
      <c r="G113" s="7">
        <v>38.164576609988288</v>
      </c>
      <c r="H113" s="7">
        <v>25.716325941512846</v>
      </c>
      <c r="I113" s="3">
        <v>74639.999999997599</v>
      </c>
      <c r="J113" s="6">
        <f t="shared" si="5"/>
        <v>0.18731648555725047</v>
      </c>
    </row>
    <row r="114" spans="1:10" x14ac:dyDescent="0.35">
      <c r="A114" s="8">
        <v>45159</v>
      </c>
      <c r="B114" s="3">
        <v>399090</v>
      </c>
      <c r="C114" s="4">
        <f t="shared" si="6"/>
        <v>4619.0972222222217</v>
      </c>
      <c r="D114" s="4">
        <v>397476</v>
      </c>
      <c r="E114" s="4">
        <f t="shared" si="7"/>
        <v>4600.4166666666661</v>
      </c>
      <c r="F114" s="5">
        <f t="shared" si="4"/>
        <v>4.0442005562655037E-3</v>
      </c>
      <c r="G114" s="7">
        <v>34.872282372015782</v>
      </c>
      <c r="H114" s="7">
        <v>26.584268661054733</v>
      </c>
      <c r="I114" s="3">
        <v>74160.000000008949</v>
      </c>
      <c r="J114" s="6">
        <f t="shared" si="5"/>
        <v>0.18582274674887606</v>
      </c>
    </row>
    <row r="115" spans="1:10" x14ac:dyDescent="0.35">
      <c r="A115" s="2">
        <v>45160</v>
      </c>
      <c r="B115" s="3">
        <v>401110</v>
      </c>
      <c r="C115" s="4">
        <f t="shared" si="6"/>
        <v>4642.4768518518513</v>
      </c>
      <c r="D115" s="4">
        <v>397996</v>
      </c>
      <c r="E115" s="4">
        <f t="shared" si="7"/>
        <v>4606.4351851851852</v>
      </c>
      <c r="F115" s="5">
        <f t="shared" si="4"/>
        <v>7.7634564084665056E-3</v>
      </c>
      <c r="G115" s="7">
        <v>35.981100396793344</v>
      </c>
      <c r="H115" s="7">
        <v>26.506847227236769</v>
      </c>
      <c r="I115" s="3">
        <v>75479.99999998865</v>
      </c>
      <c r="J115" s="6">
        <f t="shared" si="5"/>
        <v>0.18817780658669356</v>
      </c>
    </row>
    <row r="116" spans="1:10" x14ac:dyDescent="0.35">
      <c r="A116" s="2">
        <v>45161</v>
      </c>
      <c r="B116" s="3">
        <v>398830</v>
      </c>
      <c r="C116" s="4">
        <f t="shared" si="6"/>
        <v>4616.0879629629626</v>
      </c>
      <c r="D116" s="4">
        <v>397366</v>
      </c>
      <c r="E116" s="4">
        <f t="shared" si="7"/>
        <v>4599.1435185185182</v>
      </c>
      <c r="F116" s="5">
        <f t="shared" si="4"/>
        <v>3.6707369054484367E-3</v>
      </c>
      <c r="G116" s="7">
        <v>36.186794323791538</v>
      </c>
      <c r="H116" s="7">
        <v>27.112622376275095</v>
      </c>
      <c r="I116" s="3">
        <v>75719.999999999345</v>
      </c>
      <c r="J116" s="6">
        <f t="shared" si="5"/>
        <v>0.18985532683097897</v>
      </c>
    </row>
    <row r="117" spans="1:10" x14ac:dyDescent="0.35">
      <c r="A117" s="2">
        <v>45162</v>
      </c>
      <c r="B117" s="3">
        <v>400320</v>
      </c>
      <c r="C117" s="4">
        <f t="shared" si="6"/>
        <v>4633.333333333333</v>
      </c>
      <c r="D117" s="4">
        <v>397334</v>
      </c>
      <c r="E117" s="4">
        <f t="shared" si="7"/>
        <v>4598.7731481481478</v>
      </c>
      <c r="F117" s="5">
        <f t="shared" si="4"/>
        <v>7.459032773780975E-3</v>
      </c>
      <c r="G117" s="7">
        <v>34.765135820962676</v>
      </c>
      <c r="H117" s="7">
        <v>26.785432496061571</v>
      </c>
      <c r="I117" s="3">
        <v>75360.000000007858</v>
      </c>
      <c r="J117" s="6">
        <f t="shared" si="5"/>
        <v>0.18824940047963593</v>
      </c>
    </row>
    <row r="118" spans="1:10" x14ac:dyDescent="0.35">
      <c r="A118" s="2">
        <v>45163</v>
      </c>
      <c r="B118" s="3">
        <v>402220</v>
      </c>
      <c r="C118" s="4">
        <f t="shared" si="6"/>
        <v>4655.3240740740739</v>
      </c>
      <c r="D118" s="4">
        <v>396172</v>
      </c>
      <c r="E118" s="4">
        <f t="shared" si="7"/>
        <v>4585.3240740740739</v>
      </c>
      <c r="F118" s="5">
        <f t="shared" si="4"/>
        <v>1.5036547163243996E-2</v>
      </c>
      <c r="G118" s="7">
        <v>34.60091286322853</v>
      </c>
      <c r="H118" s="7">
        <v>26.63075302355692</v>
      </c>
      <c r="I118" s="3">
        <v>76080.000000001746</v>
      </c>
      <c r="J118" s="6">
        <f t="shared" si="5"/>
        <v>0.1891502162995419</v>
      </c>
    </row>
    <row r="119" spans="1:10" x14ac:dyDescent="0.35">
      <c r="A119" s="2">
        <v>45164</v>
      </c>
      <c r="B119" s="3">
        <v>398070</v>
      </c>
      <c r="C119" s="4">
        <f t="shared" si="6"/>
        <v>4607.2916666666661</v>
      </c>
      <c r="D119" s="4">
        <v>395094</v>
      </c>
      <c r="E119" s="4">
        <f t="shared" si="7"/>
        <v>4572.8472222222217</v>
      </c>
      <c r="F119" s="5">
        <f t="shared" si="4"/>
        <v>7.4760720476298136E-3</v>
      </c>
      <c r="G119" s="7">
        <v>36.255882583861577</v>
      </c>
      <c r="H119" s="7">
        <v>26.737720368290109</v>
      </c>
      <c r="I119" s="3">
        <v>75840.000000007421</v>
      </c>
      <c r="J119" s="6">
        <f t="shared" si="5"/>
        <v>0.19051925540735906</v>
      </c>
    </row>
    <row r="120" spans="1:10" x14ac:dyDescent="0.35">
      <c r="A120" s="2">
        <v>45165</v>
      </c>
      <c r="B120" s="3">
        <v>392450</v>
      </c>
      <c r="C120" s="4">
        <f t="shared" si="6"/>
        <v>4542.2453703703704</v>
      </c>
      <c r="D120" s="4">
        <v>394916</v>
      </c>
      <c r="E120" s="4">
        <f t="shared" si="7"/>
        <v>4570.7870370370365</v>
      </c>
      <c r="F120" s="5">
        <f t="shared" si="4"/>
        <v>-6.2836030067524523E-3</v>
      </c>
      <c r="G120" s="7">
        <v>36.775077538941979</v>
      </c>
      <c r="H120" s="7">
        <v>27.264871003813891</v>
      </c>
      <c r="I120" s="3">
        <v>74879.999999986467</v>
      </c>
      <c r="J120" s="6">
        <f t="shared" si="5"/>
        <v>0.19080137597142685</v>
      </c>
    </row>
    <row r="121" spans="1:10" x14ac:dyDescent="0.35">
      <c r="A121" s="8">
        <v>45166</v>
      </c>
      <c r="B121" s="3">
        <v>399360</v>
      </c>
      <c r="C121" s="4">
        <f t="shared" si="6"/>
        <v>4622.2222222222217</v>
      </c>
      <c r="D121" s="4">
        <v>396818</v>
      </c>
      <c r="E121" s="4">
        <f t="shared" si="7"/>
        <v>4592.8009259259252</v>
      </c>
      <c r="F121" s="5">
        <f t="shared" si="4"/>
        <v>6.3651842948717948E-3</v>
      </c>
      <c r="G121" s="7">
        <v>37.434492281718335</v>
      </c>
      <c r="H121" s="7">
        <v>26.396180503331614</v>
      </c>
      <c r="I121" s="3">
        <v>74160.000000008949</v>
      </c>
      <c r="J121" s="6">
        <f t="shared" si="5"/>
        <v>0.18569711538463779</v>
      </c>
    </row>
    <row r="122" spans="1:10" x14ac:dyDescent="0.35">
      <c r="A122" s="2">
        <v>45167</v>
      </c>
      <c r="B122" s="3">
        <v>400040</v>
      </c>
      <c r="C122" s="4">
        <f t="shared" si="6"/>
        <v>4630.0925925925922</v>
      </c>
      <c r="D122" s="4">
        <v>396512</v>
      </c>
      <c r="E122" s="4">
        <f t="shared" si="7"/>
        <v>4589.2592592592591</v>
      </c>
      <c r="F122" s="5">
        <f t="shared" si="4"/>
        <v>8.8191180881911808E-3</v>
      </c>
      <c r="G122" s="7">
        <v>34.789468982721175</v>
      </c>
      <c r="H122" s="7">
        <v>26.068268395479144</v>
      </c>
      <c r="I122" s="3">
        <v>75959.99999999367</v>
      </c>
      <c r="J122" s="6">
        <f t="shared" si="5"/>
        <v>0.18988101189879431</v>
      </c>
    </row>
    <row r="123" spans="1:10" x14ac:dyDescent="0.35">
      <c r="A123" s="2">
        <v>45168</v>
      </c>
      <c r="B123" s="3">
        <v>397560</v>
      </c>
      <c r="C123" s="4">
        <f t="shared" si="6"/>
        <v>4601.3888888888887</v>
      </c>
      <c r="D123" s="4">
        <v>396964</v>
      </c>
      <c r="E123" s="4">
        <f t="shared" si="7"/>
        <v>4594.4907407407409</v>
      </c>
      <c r="F123" s="5">
        <f t="shared" si="4"/>
        <v>1.4991447831773821E-3</v>
      </c>
      <c r="G123" s="7">
        <v>36.302392544918447</v>
      </c>
      <c r="H123" s="7">
        <v>25.490380926228969</v>
      </c>
      <c r="I123" s="3">
        <v>76440.000000004147</v>
      </c>
      <c r="J123" s="6">
        <f t="shared" si="5"/>
        <v>0.19227286447329747</v>
      </c>
    </row>
    <row r="124" spans="1:10" x14ac:dyDescent="0.35">
      <c r="A124" s="2">
        <v>45169</v>
      </c>
      <c r="B124" s="3">
        <v>400620</v>
      </c>
      <c r="C124" s="4">
        <f t="shared" si="6"/>
        <v>4636.8055555555557</v>
      </c>
      <c r="D124" s="4">
        <v>397558</v>
      </c>
      <c r="E124" s="4">
        <f t="shared" si="7"/>
        <v>4601.3657407407409</v>
      </c>
      <c r="F124" s="5">
        <f t="shared" si="4"/>
        <v>7.6431531126753532E-3</v>
      </c>
      <c r="G124" s="7">
        <v>34.739102321021868</v>
      </c>
      <c r="H124" s="7">
        <v>25.380471289742143</v>
      </c>
      <c r="I124" s="3">
        <v>76799.999999990177</v>
      </c>
      <c r="J124" s="6">
        <f t="shared" si="5"/>
        <v>0.191702860566098</v>
      </c>
    </row>
    <row r="125" spans="1:10" x14ac:dyDescent="0.35">
      <c r="A125" s="2">
        <v>45170</v>
      </c>
      <c r="B125" s="3">
        <v>393790</v>
      </c>
      <c r="C125" s="4">
        <f t="shared" si="6"/>
        <v>4557.7546296296296</v>
      </c>
      <c r="D125" s="4">
        <v>387574</v>
      </c>
      <c r="E125" s="4">
        <f t="shared" si="7"/>
        <v>4485.8101851851852</v>
      </c>
      <c r="F125" s="5">
        <f t="shared" si="4"/>
        <v>1.5785063104700476E-2</v>
      </c>
      <c r="G125" s="7">
        <v>36.482046669076816</v>
      </c>
      <c r="H125" s="7">
        <v>27.170759458869561</v>
      </c>
      <c r="I125" s="3">
        <v>76800.000000001091</v>
      </c>
      <c r="J125" s="6">
        <f t="shared" si="5"/>
        <v>0.19502780669900477</v>
      </c>
    </row>
    <row r="126" spans="1:10" x14ac:dyDescent="0.35">
      <c r="A126" s="2">
        <v>45171</v>
      </c>
      <c r="B126" s="3">
        <v>398380</v>
      </c>
      <c r="C126" s="4">
        <f t="shared" si="6"/>
        <v>4610.8796296296296</v>
      </c>
      <c r="D126" s="4">
        <v>386343</v>
      </c>
      <c r="E126" s="4">
        <f t="shared" si="7"/>
        <v>4471.5625</v>
      </c>
      <c r="F126" s="5">
        <f t="shared" si="4"/>
        <v>3.0214870224408857E-2</v>
      </c>
      <c r="G126" s="7">
        <v>36.061712831507002</v>
      </c>
      <c r="H126" s="7">
        <v>26.857707132155841</v>
      </c>
      <c r="I126" s="3">
        <v>75599.999999991269</v>
      </c>
      <c r="J126" s="6">
        <f t="shared" si="5"/>
        <v>0.18976856267882741</v>
      </c>
    </row>
    <row r="127" spans="1:10" x14ac:dyDescent="0.35">
      <c r="A127" s="2">
        <v>45172</v>
      </c>
      <c r="B127" s="3">
        <v>396380</v>
      </c>
      <c r="C127" s="4">
        <f t="shared" si="6"/>
        <v>4587.7314814814808</v>
      </c>
      <c r="D127" s="4">
        <v>393881</v>
      </c>
      <c r="E127" s="4">
        <f t="shared" si="7"/>
        <v>4558.8078703703704</v>
      </c>
      <c r="F127" s="5">
        <f t="shared" si="4"/>
        <v>6.3045562339169485E-3</v>
      </c>
      <c r="G127" s="7">
        <v>36.243668090760785</v>
      </c>
      <c r="H127" s="7">
        <v>26.99322207807721</v>
      </c>
      <c r="I127" s="3">
        <v>77880.000000002838</v>
      </c>
      <c r="J127" s="6">
        <f t="shared" si="5"/>
        <v>0.19647812704980785</v>
      </c>
    </row>
    <row r="128" spans="1:10" x14ac:dyDescent="0.35">
      <c r="A128" s="8">
        <v>45173</v>
      </c>
      <c r="B128" s="3">
        <v>396010</v>
      </c>
      <c r="C128" s="4">
        <f t="shared" si="6"/>
        <v>4583.4490740740739</v>
      </c>
      <c r="D128" s="4">
        <v>394514</v>
      </c>
      <c r="E128" s="4">
        <f t="shared" si="7"/>
        <v>4566.1342592592591</v>
      </c>
      <c r="F128" s="5">
        <f t="shared" si="4"/>
        <v>3.7776823817580363E-3</v>
      </c>
      <c r="G128" s="7">
        <v>35.630022491013854</v>
      </c>
      <c r="H128" s="7">
        <v>27.018442381021298</v>
      </c>
      <c r="I128" s="3">
        <v>76559.999999995853</v>
      </c>
      <c r="J128" s="6">
        <f t="shared" si="5"/>
        <v>0.19332845130172432</v>
      </c>
    </row>
    <row r="129" spans="1:10" x14ac:dyDescent="0.35">
      <c r="A129" s="2">
        <v>45174</v>
      </c>
      <c r="B129" s="3">
        <v>397450</v>
      </c>
      <c r="C129" s="4">
        <f t="shared" si="6"/>
        <v>4600.1157407407409</v>
      </c>
      <c r="D129" s="4">
        <v>398449</v>
      </c>
      <c r="E129" s="4">
        <f t="shared" si="7"/>
        <v>4611.6782407407409</v>
      </c>
      <c r="F129" s="5">
        <f t="shared" si="4"/>
        <v>-2.5135237136746759E-3</v>
      </c>
      <c r="G129" s="7">
        <v>35.500931454689635</v>
      </c>
      <c r="H129" s="7">
        <v>26.806602510680346</v>
      </c>
      <c r="I129" s="3">
        <v>76080.000000007203</v>
      </c>
      <c r="J129" s="6">
        <f t="shared" si="5"/>
        <v>0.19142030444082828</v>
      </c>
    </row>
    <row r="130" spans="1:10" x14ac:dyDescent="0.35">
      <c r="A130" s="2">
        <v>45175</v>
      </c>
      <c r="B130" s="3">
        <v>394060</v>
      </c>
      <c r="C130" s="4">
        <f t="shared" si="6"/>
        <v>4560.8796296296296</v>
      </c>
      <c r="D130" s="4">
        <v>396331</v>
      </c>
      <c r="E130" s="4">
        <f t="shared" si="7"/>
        <v>4587.1643518518513</v>
      </c>
      <c r="F130" s="5">
        <f t="shared" si="4"/>
        <v>-5.7630817641983459E-3</v>
      </c>
      <c r="G130" s="7">
        <v>36.457050088351416</v>
      </c>
      <c r="H130" s="7">
        <v>27.152142737928855</v>
      </c>
      <c r="I130" s="3">
        <v>75960.000000004584</v>
      </c>
      <c r="J130" s="6">
        <f t="shared" si="5"/>
        <v>0.19276252347359435</v>
      </c>
    </row>
    <row r="131" spans="1:10" x14ac:dyDescent="0.35">
      <c r="A131" s="2">
        <v>45176</v>
      </c>
      <c r="B131" s="3">
        <v>397130</v>
      </c>
      <c r="C131" s="4">
        <f t="shared" si="6"/>
        <v>4596.4120370370365</v>
      </c>
      <c r="D131" s="4">
        <v>397024</v>
      </c>
      <c r="E131" s="4">
        <f t="shared" si="7"/>
        <v>4595.1851851851852</v>
      </c>
      <c r="F131" s="5">
        <f t="shared" si="4"/>
        <v>2.6691511595699141E-4</v>
      </c>
      <c r="G131" s="7">
        <v>36.175220098747914</v>
      </c>
      <c r="H131" s="7">
        <v>26.942244019107708</v>
      </c>
      <c r="I131" s="3">
        <v>76440.000000004147</v>
      </c>
      <c r="J131" s="6">
        <f t="shared" si="5"/>
        <v>0.19248105154484463</v>
      </c>
    </row>
    <row r="132" spans="1:10" x14ac:dyDescent="0.35">
      <c r="A132" s="2">
        <v>45177</v>
      </c>
      <c r="B132" s="3">
        <v>398880</v>
      </c>
      <c r="C132" s="4">
        <f t="shared" si="6"/>
        <v>4616.6666666666661</v>
      </c>
      <c r="D132" s="4">
        <v>396014</v>
      </c>
      <c r="E132" s="4">
        <f t="shared" si="7"/>
        <v>4583.4953703703704</v>
      </c>
      <c r="F132" s="5">
        <f t="shared" ref="F132:F195" si="8">(B132-D132)/B132</f>
        <v>7.1851183313277178E-3</v>
      </c>
      <c r="G132" s="7">
        <v>36.016509120075611</v>
      </c>
      <c r="H132" s="7">
        <v>26.71049981916843</v>
      </c>
      <c r="I132" s="3">
        <v>77039.999999989959</v>
      </c>
      <c r="J132" s="6">
        <f t="shared" ref="J132:J195" si="9">I132/B132</f>
        <v>0.19314079422380154</v>
      </c>
    </row>
    <row r="133" spans="1:10" x14ac:dyDescent="0.35">
      <c r="A133" s="2">
        <v>45178</v>
      </c>
      <c r="B133" s="3">
        <v>391900</v>
      </c>
      <c r="C133" s="4">
        <f t="shared" ref="C133:C196" si="10">B133/86.4</f>
        <v>4535.8796296296296</v>
      </c>
      <c r="D133" s="4">
        <v>394245</v>
      </c>
      <c r="E133" s="4">
        <f t="shared" ref="E133:E196" si="11">D133/86.4</f>
        <v>4563.020833333333</v>
      </c>
      <c r="F133" s="5">
        <f t="shared" si="8"/>
        <v>-5.983669303393723E-3</v>
      </c>
      <c r="G133" s="7">
        <v>36.657987134002958</v>
      </c>
      <c r="H133" s="7">
        <v>27.215122397880808</v>
      </c>
      <c r="I133" s="3">
        <v>77520.000000000437</v>
      </c>
      <c r="J133" s="6">
        <f t="shared" si="9"/>
        <v>0.19780556264353263</v>
      </c>
    </row>
    <row r="134" spans="1:10" x14ac:dyDescent="0.35">
      <c r="A134" s="2">
        <v>45179</v>
      </c>
      <c r="B134" s="3">
        <v>396300</v>
      </c>
      <c r="C134" s="4">
        <f t="shared" si="10"/>
        <v>4586.8055555555557</v>
      </c>
      <c r="D134" s="4">
        <v>395115</v>
      </c>
      <c r="E134" s="4">
        <f t="shared" si="11"/>
        <v>4573.0902777777774</v>
      </c>
      <c r="F134" s="5">
        <f t="shared" si="8"/>
        <v>2.9901589704769116E-3</v>
      </c>
      <c r="G134" s="7">
        <v>36.250984501175274</v>
      </c>
      <c r="H134" s="7">
        <v>27.027241148543602</v>
      </c>
      <c r="I134" s="3">
        <v>76440.000000004147</v>
      </c>
      <c r="J134" s="6">
        <f t="shared" si="9"/>
        <v>0.19288417865254642</v>
      </c>
    </row>
    <row r="135" spans="1:10" x14ac:dyDescent="0.35">
      <c r="A135" s="8">
        <v>45180</v>
      </c>
      <c r="B135" s="3">
        <v>399060</v>
      </c>
      <c r="C135" s="4">
        <f t="shared" si="10"/>
        <v>4618.75</v>
      </c>
      <c r="D135" s="4">
        <v>396134</v>
      </c>
      <c r="E135" s="4">
        <f t="shared" si="11"/>
        <v>4584.8842592592591</v>
      </c>
      <c r="F135" s="5">
        <f t="shared" si="8"/>
        <v>7.3322307422442742E-3</v>
      </c>
      <c r="G135" s="7">
        <v>36.000263513796824</v>
      </c>
      <c r="H135" s="7">
        <v>26.329610258345344</v>
      </c>
      <c r="I135" s="3">
        <v>75600.000000002183</v>
      </c>
      <c r="J135" s="6">
        <f t="shared" si="9"/>
        <v>0.18944519621110154</v>
      </c>
    </row>
    <row r="136" spans="1:10" x14ac:dyDescent="0.35">
      <c r="A136" s="2">
        <v>45181</v>
      </c>
      <c r="B136" s="3">
        <v>398840</v>
      </c>
      <c r="C136" s="4">
        <f t="shared" si="10"/>
        <v>4616.2037037037035</v>
      </c>
      <c r="D136" s="4">
        <v>395858</v>
      </c>
      <c r="E136" s="4">
        <f t="shared" si="11"/>
        <v>4581.6898148148148</v>
      </c>
      <c r="F136" s="5">
        <f t="shared" si="8"/>
        <v>7.4766823788988065E-3</v>
      </c>
      <c r="G136" s="7">
        <v>35.377206916724489</v>
      </c>
      <c r="H136" s="7">
        <v>26.542850187324216</v>
      </c>
      <c r="I136" s="3">
        <v>77280.000000006112</v>
      </c>
      <c r="J136" s="6">
        <f t="shared" si="9"/>
        <v>0.19376190953767453</v>
      </c>
    </row>
    <row r="137" spans="1:10" x14ac:dyDescent="0.35">
      <c r="A137" s="2">
        <v>45182</v>
      </c>
      <c r="B137" s="3">
        <v>400570</v>
      </c>
      <c r="C137" s="4">
        <f t="shared" si="10"/>
        <v>4636.2268518518513</v>
      </c>
      <c r="D137" s="4">
        <v>395468</v>
      </c>
      <c r="E137" s="4">
        <f t="shared" si="11"/>
        <v>4577.1759259259252</v>
      </c>
      <c r="F137" s="5">
        <f t="shared" si="8"/>
        <v>1.2736849988766008E-2</v>
      </c>
      <c r="G137" s="7">
        <v>33.944142857347437</v>
      </c>
      <c r="H137" s="7">
        <v>26.795666841967702</v>
      </c>
      <c r="I137" s="3">
        <v>77879.999999986467</v>
      </c>
      <c r="J137" s="6">
        <f t="shared" si="9"/>
        <v>0.19442294730006357</v>
      </c>
    </row>
    <row r="138" spans="1:10" x14ac:dyDescent="0.35">
      <c r="A138" s="2">
        <v>45183</v>
      </c>
      <c r="B138" s="3">
        <v>400970</v>
      </c>
      <c r="C138" s="4">
        <f t="shared" si="10"/>
        <v>4640.8564814814808</v>
      </c>
      <c r="D138" s="4">
        <v>394914</v>
      </c>
      <c r="E138" s="4">
        <f t="shared" si="11"/>
        <v>4570.7638888888887</v>
      </c>
      <c r="F138" s="5">
        <f t="shared" si="8"/>
        <v>1.5103374317280595E-2</v>
      </c>
      <c r="G138" s="7">
        <v>35.189279015054481</v>
      </c>
      <c r="H138" s="7">
        <v>26.571275077611549</v>
      </c>
      <c r="I138" s="3">
        <v>76920.000000003711</v>
      </c>
      <c r="J138" s="6">
        <f t="shared" si="9"/>
        <v>0.19183480060853358</v>
      </c>
    </row>
    <row r="139" spans="1:10" x14ac:dyDescent="0.35">
      <c r="A139" s="2">
        <v>45184</v>
      </c>
      <c r="B139" s="3">
        <v>398200</v>
      </c>
      <c r="C139" s="4">
        <f t="shared" si="10"/>
        <v>4608.7962962962956</v>
      </c>
      <c r="D139" s="4">
        <v>392447</v>
      </c>
      <c r="E139" s="4">
        <f t="shared" si="11"/>
        <v>4542.2106481481478</v>
      </c>
      <c r="F139" s="5">
        <f t="shared" si="8"/>
        <v>1.4447513812154696E-2</v>
      </c>
      <c r="G139" s="7">
        <v>36.823637543126367</v>
      </c>
      <c r="H139" s="7">
        <v>26.95514883698393</v>
      </c>
      <c r="I139" s="3">
        <v>78120.000000002619</v>
      </c>
      <c r="J139" s="6">
        <f t="shared" si="9"/>
        <v>0.1961828227021663</v>
      </c>
    </row>
    <row r="140" spans="1:10" x14ac:dyDescent="0.35">
      <c r="A140" s="2">
        <v>45185</v>
      </c>
      <c r="B140" s="3">
        <v>394280</v>
      </c>
      <c r="C140" s="4">
        <f t="shared" si="10"/>
        <v>4563.4259259259252</v>
      </c>
      <c r="D140" s="4">
        <v>387474</v>
      </c>
      <c r="E140" s="4">
        <f t="shared" si="11"/>
        <v>4484.6527777777774</v>
      </c>
      <c r="F140" s="5">
        <f t="shared" si="8"/>
        <v>1.7261844374556152E-2</v>
      </c>
      <c r="G140" s="7">
        <v>35.786357935138469</v>
      </c>
      <c r="H140" s="7">
        <v>27.280574380151599</v>
      </c>
      <c r="I140" s="3">
        <v>79200.000000009823</v>
      </c>
      <c r="J140" s="6">
        <f t="shared" si="9"/>
        <v>0.20087247641272654</v>
      </c>
    </row>
    <row r="141" spans="1:10" x14ac:dyDescent="0.35">
      <c r="A141" s="2">
        <v>45186</v>
      </c>
      <c r="B141" s="3">
        <v>390820</v>
      </c>
      <c r="C141" s="4">
        <f t="shared" si="10"/>
        <v>4523.3796296296296</v>
      </c>
      <c r="D141" s="4">
        <v>385601</v>
      </c>
      <c r="E141" s="4">
        <f t="shared" si="11"/>
        <v>4462.9745370370365</v>
      </c>
      <c r="F141" s="5">
        <f t="shared" si="8"/>
        <v>1.3353973696330792E-2</v>
      </c>
      <c r="G141" s="7">
        <v>35.447073475044853</v>
      </c>
      <c r="H141" s="7">
        <v>26.942681718986908</v>
      </c>
      <c r="I141" s="3">
        <v>77759.999999983847</v>
      </c>
      <c r="J141" s="6">
        <f t="shared" si="9"/>
        <v>0.198966276034962</v>
      </c>
    </row>
    <row r="142" spans="1:10" x14ac:dyDescent="0.35">
      <c r="A142" s="8">
        <v>45187</v>
      </c>
      <c r="B142" s="3">
        <v>399120</v>
      </c>
      <c r="C142" s="4">
        <f t="shared" si="10"/>
        <v>4619.4444444444443</v>
      </c>
      <c r="D142" s="4">
        <v>389037</v>
      </c>
      <c r="E142" s="4">
        <f t="shared" si="11"/>
        <v>4502.7430555555557</v>
      </c>
      <c r="F142" s="5">
        <f t="shared" si="8"/>
        <v>2.5263078773301261E-2</v>
      </c>
      <c r="G142" s="7">
        <v>35.352388270861887</v>
      </c>
      <c r="H142" s="7">
        <v>26.495861066478263</v>
      </c>
      <c r="I142" s="3">
        <v>75960.000000010041</v>
      </c>
      <c r="J142" s="6">
        <f t="shared" si="9"/>
        <v>0.19031870114253868</v>
      </c>
    </row>
    <row r="143" spans="1:10" x14ac:dyDescent="0.35">
      <c r="A143" s="2">
        <v>45188</v>
      </c>
      <c r="B143" s="3">
        <v>393260</v>
      </c>
      <c r="C143" s="4">
        <f t="shared" si="10"/>
        <v>4551.6203703703704</v>
      </c>
      <c r="D143" s="4">
        <v>385956</v>
      </c>
      <c r="E143" s="4">
        <f t="shared" si="11"/>
        <v>4467.083333333333</v>
      </c>
      <c r="F143" s="5">
        <f t="shared" si="8"/>
        <v>1.8572954279611455E-2</v>
      </c>
      <c r="G143" s="7">
        <v>37.841006860427171</v>
      </c>
      <c r="H143" s="7">
        <v>26.516396711280564</v>
      </c>
      <c r="I143" s="3">
        <v>78719.999999999345</v>
      </c>
      <c r="J143" s="6">
        <f t="shared" si="9"/>
        <v>0.20017291359405825</v>
      </c>
    </row>
    <row r="144" spans="1:10" x14ac:dyDescent="0.35">
      <c r="A144" s="2">
        <v>45189</v>
      </c>
      <c r="B144" s="3">
        <v>397460</v>
      </c>
      <c r="C144" s="4">
        <f t="shared" si="10"/>
        <v>4600.2314814814808</v>
      </c>
      <c r="D144" s="4">
        <v>387899</v>
      </c>
      <c r="E144" s="4">
        <f t="shared" si="11"/>
        <v>4489.5717592592591</v>
      </c>
      <c r="F144" s="5">
        <f t="shared" si="8"/>
        <v>2.4055250842852111E-2</v>
      </c>
      <c r="G144" s="7">
        <v>36.145184818134553</v>
      </c>
      <c r="H144" s="7">
        <v>26.521061664756324</v>
      </c>
      <c r="I144" s="3">
        <v>77880.000000002838</v>
      </c>
      <c r="J144" s="6">
        <f t="shared" si="9"/>
        <v>0.19594424596186494</v>
      </c>
    </row>
    <row r="145" spans="1:10" x14ac:dyDescent="0.35">
      <c r="A145" s="2">
        <v>45190</v>
      </c>
      <c r="B145" s="3">
        <v>396430</v>
      </c>
      <c r="C145" s="4">
        <f t="shared" si="10"/>
        <v>4588.3101851851852</v>
      </c>
      <c r="D145" s="4">
        <v>389399</v>
      </c>
      <c r="E145" s="4">
        <f t="shared" si="11"/>
        <v>4506.9328703703704</v>
      </c>
      <c r="F145" s="5">
        <f t="shared" si="8"/>
        <v>1.7735791943092098E-2</v>
      </c>
      <c r="G145" s="7">
        <v>36.239096833780891</v>
      </c>
      <c r="H145" s="7">
        <v>26.818453618925744</v>
      </c>
      <c r="I145" s="3">
        <v>77879.999999986467</v>
      </c>
      <c r="J145" s="6">
        <f t="shared" si="9"/>
        <v>0.19645334611403392</v>
      </c>
    </row>
    <row r="146" spans="1:10" x14ac:dyDescent="0.35">
      <c r="A146" s="2">
        <v>45191</v>
      </c>
      <c r="B146" s="3">
        <v>396780</v>
      </c>
      <c r="C146" s="4">
        <f t="shared" si="10"/>
        <v>4592.3611111111104</v>
      </c>
      <c r="D146" s="4">
        <v>389203</v>
      </c>
      <c r="E146" s="4">
        <f t="shared" si="11"/>
        <v>4504.6643518518513</v>
      </c>
      <c r="F146" s="5">
        <f t="shared" si="8"/>
        <v>1.9096224608095166E-2</v>
      </c>
      <c r="G146" s="7">
        <v>36.207130293401278</v>
      </c>
      <c r="H146" s="7">
        <v>27.165758017857108</v>
      </c>
      <c r="I146" s="3">
        <v>76680.000000009386</v>
      </c>
      <c r="J146" s="6">
        <f t="shared" si="9"/>
        <v>0.19325570845307069</v>
      </c>
    </row>
    <row r="147" spans="1:10" x14ac:dyDescent="0.35">
      <c r="A147" s="2">
        <v>45192</v>
      </c>
      <c r="B147" s="3">
        <v>396120</v>
      </c>
      <c r="C147" s="4">
        <f t="shared" si="10"/>
        <v>4584.7222222222217</v>
      </c>
      <c r="D147" s="4">
        <v>388146</v>
      </c>
      <c r="E147" s="4">
        <f t="shared" si="11"/>
        <v>4492.4305555555557</v>
      </c>
      <c r="F147" s="5">
        <f t="shared" si="8"/>
        <v>2.0130263556498031E-2</v>
      </c>
      <c r="G147" s="7">
        <v>35.620128260795703</v>
      </c>
      <c r="H147" s="7">
        <v>27.582599627637975</v>
      </c>
      <c r="I147" s="3">
        <v>77280.000000006112</v>
      </c>
      <c r="J147" s="6">
        <f t="shared" si="9"/>
        <v>0.19509239624357799</v>
      </c>
    </row>
    <row r="148" spans="1:10" x14ac:dyDescent="0.35">
      <c r="A148" s="2">
        <v>45193</v>
      </c>
      <c r="B148" s="3">
        <v>391720</v>
      </c>
      <c r="C148" s="4">
        <f t="shared" si="10"/>
        <v>4533.7962962962956</v>
      </c>
      <c r="D148" s="4">
        <v>386746</v>
      </c>
      <c r="E148" s="4">
        <f t="shared" si="11"/>
        <v>4476.2268518518513</v>
      </c>
      <c r="F148" s="5">
        <f t="shared" si="8"/>
        <v>1.2697845399775349E-2</v>
      </c>
      <c r="G148" s="7">
        <v>35.365631715299266</v>
      </c>
      <c r="H148" s="7">
        <v>27.372148389225508</v>
      </c>
      <c r="I148" s="3">
        <v>75119.999999997162</v>
      </c>
      <c r="J148" s="6">
        <f t="shared" si="9"/>
        <v>0.19176963136933819</v>
      </c>
    </row>
    <row r="149" spans="1:10" x14ac:dyDescent="0.35">
      <c r="A149" s="2">
        <v>45194</v>
      </c>
      <c r="B149" s="3">
        <v>396140</v>
      </c>
      <c r="C149" s="4">
        <f t="shared" si="10"/>
        <v>4584.9537037037035</v>
      </c>
      <c r="D149" s="4">
        <v>389894</v>
      </c>
      <c r="E149" s="4">
        <f t="shared" si="11"/>
        <v>4512.6620370370365</v>
      </c>
      <c r="F149" s="5">
        <f t="shared" si="8"/>
        <v>1.5767153026707729E-2</v>
      </c>
      <c r="G149" s="7">
        <v>34.323737326116181</v>
      </c>
      <c r="H149" s="7">
        <v>26.49510771402965</v>
      </c>
      <c r="I149" s="3">
        <v>74640.000000003056</v>
      </c>
      <c r="J149" s="6">
        <f t="shared" si="9"/>
        <v>0.18841823597718749</v>
      </c>
    </row>
    <row r="150" spans="1:10" x14ac:dyDescent="0.35">
      <c r="A150" s="2">
        <v>45195</v>
      </c>
      <c r="B150" s="3">
        <v>399310</v>
      </c>
      <c r="C150" s="4">
        <f t="shared" si="10"/>
        <v>4621.6435185185182</v>
      </c>
      <c r="D150" s="4">
        <v>386931</v>
      </c>
      <c r="E150" s="4">
        <f t="shared" si="11"/>
        <v>4478.3680555555557</v>
      </c>
      <c r="F150" s="5">
        <f t="shared" si="8"/>
        <v>3.1000976684781249E-2</v>
      </c>
      <c r="G150" s="7">
        <v>35.977724469248855</v>
      </c>
      <c r="H150" s="7">
        <v>26.539963107790879</v>
      </c>
      <c r="I150" s="3">
        <v>76079.999999990832</v>
      </c>
      <c r="J150" s="6">
        <f t="shared" si="9"/>
        <v>0.19052866194182674</v>
      </c>
    </row>
    <row r="151" spans="1:10" x14ac:dyDescent="0.35">
      <c r="A151" s="2">
        <v>45196</v>
      </c>
      <c r="B151" s="3">
        <v>399520</v>
      </c>
      <c r="C151" s="4">
        <f t="shared" si="10"/>
        <v>4624.0740740740739</v>
      </c>
      <c r="D151" s="4">
        <v>386946</v>
      </c>
      <c r="E151" s="4">
        <f t="shared" si="11"/>
        <v>4478.5416666666661</v>
      </c>
      <c r="F151" s="5">
        <f t="shared" si="8"/>
        <v>3.1472767320784939E-2</v>
      </c>
      <c r="G151" s="7">
        <v>37.248083595143143</v>
      </c>
      <c r="H151" s="7">
        <v>26.526012886894211</v>
      </c>
      <c r="I151" s="3">
        <v>76439.99999999869</v>
      </c>
      <c r="J151" s="6">
        <f t="shared" si="9"/>
        <v>0.19132959551461426</v>
      </c>
    </row>
    <row r="152" spans="1:10" x14ac:dyDescent="0.35">
      <c r="A152" s="2">
        <v>45197</v>
      </c>
      <c r="B152" s="3">
        <v>390410</v>
      </c>
      <c r="C152" s="4">
        <f t="shared" si="10"/>
        <v>4518.6342592592591</v>
      </c>
      <c r="D152" s="4">
        <v>385220</v>
      </c>
      <c r="E152" s="4">
        <f t="shared" si="11"/>
        <v>4458.5648148148148</v>
      </c>
      <c r="F152" s="5">
        <f t="shared" si="8"/>
        <v>1.3293716861760714E-2</v>
      </c>
      <c r="G152" s="7">
        <v>36.797892363965474</v>
      </c>
      <c r="H152" s="7">
        <v>27.696002576532614</v>
      </c>
      <c r="I152" s="3">
        <v>75359.999999996944</v>
      </c>
      <c r="J152" s="6">
        <f t="shared" si="9"/>
        <v>0.19302784252451768</v>
      </c>
    </row>
    <row r="153" spans="1:10" x14ac:dyDescent="0.35">
      <c r="A153" s="2">
        <v>45198</v>
      </c>
      <c r="B153" s="3">
        <v>397510</v>
      </c>
      <c r="C153" s="4">
        <f t="shared" si="10"/>
        <v>4600.8101851851852</v>
      </c>
      <c r="D153" s="4">
        <v>388809</v>
      </c>
      <c r="E153" s="4">
        <f t="shared" si="11"/>
        <v>4500.1041666666661</v>
      </c>
      <c r="F153" s="5">
        <f t="shared" si="8"/>
        <v>2.18887575155342E-2</v>
      </c>
      <c r="G153" s="7">
        <v>36.785703778433565</v>
      </c>
      <c r="H153" s="7">
        <v>26.916488559553834</v>
      </c>
      <c r="I153" s="3">
        <v>76080.000000018117</v>
      </c>
      <c r="J153" s="6">
        <f t="shared" si="9"/>
        <v>0.19139141153686226</v>
      </c>
    </row>
    <row r="154" spans="1:10" x14ac:dyDescent="0.35">
      <c r="A154" s="2">
        <v>45199</v>
      </c>
      <c r="B154" s="3">
        <v>394390</v>
      </c>
      <c r="C154" s="4">
        <f t="shared" si="10"/>
        <v>4564.6990740740739</v>
      </c>
      <c r="D154" s="4">
        <v>381788</v>
      </c>
      <c r="E154" s="4">
        <f t="shared" si="11"/>
        <v>4418.8425925925922</v>
      </c>
      <c r="F154" s="5">
        <f t="shared" si="8"/>
        <v>3.1953142828165013E-2</v>
      </c>
      <c r="G154" s="7">
        <v>36.426545190840947</v>
      </c>
      <c r="H154" s="7">
        <v>27.129423584036726</v>
      </c>
      <c r="I154" s="3">
        <v>75239.999999988868</v>
      </c>
      <c r="J154" s="6">
        <f t="shared" si="9"/>
        <v>0.19077562818527058</v>
      </c>
    </row>
    <row r="155" spans="1:10" x14ac:dyDescent="0.35">
      <c r="A155" s="2">
        <v>45200</v>
      </c>
      <c r="B155" s="3">
        <v>393490</v>
      </c>
      <c r="C155" s="4">
        <f t="shared" si="10"/>
        <v>4554.2824074074069</v>
      </c>
      <c r="D155" s="4">
        <v>391461</v>
      </c>
      <c r="E155" s="4">
        <f t="shared" si="11"/>
        <v>4530.7986111111104</v>
      </c>
      <c r="F155" s="5">
        <f t="shared" si="8"/>
        <v>5.1564207476683015E-3</v>
      </c>
      <c r="G155" s="7">
        <v>36.407636788736689</v>
      </c>
      <c r="H155" s="7">
        <v>27.363394241276779</v>
      </c>
      <c r="I155" s="3">
        <v>75239.999999988868</v>
      </c>
      <c r="J155" s="6">
        <f t="shared" si="9"/>
        <v>0.19121197489132855</v>
      </c>
    </row>
    <row r="156" spans="1:10" x14ac:dyDescent="0.35">
      <c r="A156" s="8">
        <v>45201</v>
      </c>
      <c r="B156" s="3">
        <v>396990</v>
      </c>
      <c r="C156" s="4">
        <f t="shared" si="10"/>
        <v>4594.7916666666661</v>
      </c>
      <c r="D156" s="4">
        <v>392013</v>
      </c>
      <c r="E156" s="4">
        <f t="shared" si="11"/>
        <v>4537.1875</v>
      </c>
      <c r="F156" s="5">
        <f t="shared" si="8"/>
        <v>1.2536839718884607E-2</v>
      </c>
      <c r="G156" s="7">
        <v>37.380508325146728</v>
      </c>
      <c r="H156" s="7">
        <v>26.893992291997279</v>
      </c>
      <c r="I156" s="3">
        <v>73800.000000012005</v>
      </c>
      <c r="J156" s="6">
        <f t="shared" si="9"/>
        <v>0.18589888914081465</v>
      </c>
    </row>
    <row r="157" spans="1:10" x14ac:dyDescent="0.35">
      <c r="A157" s="2">
        <v>45202</v>
      </c>
      <c r="B157" s="3">
        <v>397590</v>
      </c>
      <c r="C157" s="4">
        <f t="shared" si="10"/>
        <v>4601.7361111111104</v>
      </c>
      <c r="D157" s="4">
        <v>391789</v>
      </c>
      <c r="E157" s="4">
        <f t="shared" si="11"/>
        <v>4534.5949074074069</v>
      </c>
      <c r="F157" s="5">
        <f t="shared" si="8"/>
        <v>1.4590407203400487E-2</v>
      </c>
      <c r="G157" s="7">
        <v>36.032196483814985</v>
      </c>
      <c r="H157" s="7">
        <v>26.682547347770317</v>
      </c>
      <c r="I157" s="3">
        <v>76919.999999992797</v>
      </c>
      <c r="J157" s="6">
        <f t="shared" si="9"/>
        <v>0.19346563042328227</v>
      </c>
    </row>
    <row r="158" spans="1:10" x14ac:dyDescent="0.35">
      <c r="A158" s="2">
        <v>45203</v>
      </c>
      <c r="B158" s="3">
        <v>397270</v>
      </c>
      <c r="C158" s="4">
        <f t="shared" si="10"/>
        <v>4598.0324074074069</v>
      </c>
      <c r="D158" s="4">
        <v>391779</v>
      </c>
      <c r="E158" s="4">
        <f t="shared" si="11"/>
        <v>4534.4791666666661</v>
      </c>
      <c r="F158" s="5">
        <f t="shared" si="8"/>
        <v>1.3821834017167165E-2</v>
      </c>
      <c r="G158" s="7">
        <v>36.704868225639991</v>
      </c>
      <c r="H158" s="7">
        <v>27.302529765650565</v>
      </c>
      <c r="I158" s="3">
        <v>76200.00000001528</v>
      </c>
      <c r="J158" s="6">
        <f t="shared" si="9"/>
        <v>0.1918090970876615</v>
      </c>
    </row>
    <row r="159" spans="1:10" x14ac:dyDescent="0.35">
      <c r="A159" s="2">
        <v>45204</v>
      </c>
      <c r="B159" s="3">
        <v>397230</v>
      </c>
      <c r="C159" s="4">
        <f t="shared" si="10"/>
        <v>4597.5694444444443</v>
      </c>
      <c r="D159" s="4">
        <v>392795</v>
      </c>
      <c r="E159" s="4">
        <f t="shared" si="11"/>
        <v>4546.2384259259252</v>
      </c>
      <c r="F159" s="5">
        <f t="shared" si="8"/>
        <v>1.116481635324623E-2</v>
      </c>
      <c r="G159" s="7">
        <v>36.708564307831736</v>
      </c>
      <c r="H159" s="7">
        <v>27.476293331319386</v>
      </c>
      <c r="I159" s="3">
        <v>76559.999999979482</v>
      </c>
      <c r="J159" s="6">
        <f t="shared" si="9"/>
        <v>0.19273468771235677</v>
      </c>
    </row>
    <row r="160" spans="1:10" x14ac:dyDescent="0.35">
      <c r="A160" s="2">
        <v>45205</v>
      </c>
      <c r="B160" s="3">
        <v>399530</v>
      </c>
      <c r="C160" s="4">
        <f t="shared" si="10"/>
        <v>4624.1898148148148</v>
      </c>
      <c r="D160" s="4">
        <v>391898</v>
      </c>
      <c r="E160" s="4">
        <f t="shared" si="11"/>
        <v>4535.8564814814808</v>
      </c>
      <c r="F160" s="5">
        <f t="shared" si="8"/>
        <v>1.9102445373313643E-2</v>
      </c>
      <c r="G160" s="7">
        <v>36.497241759066902</v>
      </c>
      <c r="H160" s="7">
        <v>27.063074112081697</v>
      </c>
      <c r="I160" s="3">
        <v>76080.000000001746</v>
      </c>
      <c r="J160" s="6">
        <f t="shared" si="9"/>
        <v>0.19042374790379132</v>
      </c>
    </row>
    <row r="161" spans="1:10" x14ac:dyDescent="0.35">
      <c r="A161" s="2">
        <v>45206</v>
      </c>
      <c r="B161" s="3">
        <v>394810</v>
      </c>
      <c r="C161" s="4">
        <f t="shared" si="10"/>
        <v>4569.5601851851852</v>
      </c>
      <c r="D161" s="4">
        <v>390202</v>
      </c>
      <c r="E161" s="4">
        <f t="shared" si="11"/>
        <v>4516.2268518518513</v>
      </c>
      <c r="F161" s="5">
        <f t="shared" si="8"/>
        <v>1.1671436893695701E-2</v>
      </c>
      <c r="G161" s="7">
        <v>37.586910159317142</v>
      </c>
      <c r="H161" s="7">
        <v>27.415293432283882</v>
      </c>
      <c r="I161" s="3">
        <v>77040.00000000633</v>
      </c>
      <c r="J161" s="6">
        <f t="shared" si="9"/>
        <v>0.19513183556649105</v>
      </c>
    </row>
    <row r="162" spans="1:10" x14ac:dyDescent="0.35">
      <c r="A162" s="2">
        <v>45207</v>
      </c>
      <c r="B162" s="3">
        <v>389640</v>
      </c>
      <c r="C162" s="4">
        <f t="shared" si="10"/>
        <v>4509.7222222222217</v>
      </c>
      <c r="D162" s="4">
        <v>388642</v>
      </c>
      <c r="E162" s="4">
        <f t="shared" si="11"/>
        <v>4498.1712962962956</v>
      </c>
      <c r="F162" s="5">
        <f t="shared" si="8"/>
        <v>2.5613386715942921E-3</v>
      </c>
      <c r="G162" s="7">
        <v>37.423629504157681</v>
      </c>
      <c r="H162" s="7">
        <v>27.779057591623037</v>
      </c>
      <c r="I162" s="3">
        <v>75360.000000002401</v>
      </c>
      <c r="J162" s="6">
        <f t="shared" si="9"/>
        <v>0.19340930089313829</v>
      </c>
    </row>
    <row r="163" spans="1:10" x14ac:dyDescent="0.35">
      <c r="A163" s="2">
        <v>45208</v>
      </c>
      <c r="B163" s="3">
        <v>398860</v>
      </c>
      <c r="C163" s="4">
        <f t="shared" si="10"/>
        <v>4616.4351851851852</v>
      </c>
      <c r="D163" s="4">
        <v>392641</v>
      </c>
      <c r="E163" s="4">
        <f t="shared" si="11"/>
        <v>4544.4560185185182</v>
      </c>
      <c r="F163" s="5">
        <f t="shared" si="8"/>
        <v>1.5591937020508449E-2</v>
      </c>
      <c r="G163" s="7">
        <v>36.558549365692222</v>
      </c>
      <c r="H163" s="7">
        <v>27.39239332096475</v>
      </c>
      <c r="I163" s="3">
        <v>73920.000000003711</v>
      </c>
      <c r="J163" s="6">
        <f t="shared" si="9"/>
        <v>0.18532818532819464</v>
      </c>
    </row>
    <row r="164" spans="1:10" x14ac:dyDescent="0.35">
      <c r="A164" s="2">
        <v>45209</v>
      </c>
      <c r="B164" s="3">
        <v>398370</v>
      </c>
      <c r="C164" s="4">
        <f t="shared" si="10"/>
        <v>4610.7638888888887</v>
      </c>
      <c r="D164" s="4">
        <v>393213</v>
      </c>
      <c r="E164" s="4">
        <f t="shared" si="11"/>
        <v>4551.0763888888887</v>
      </c>
      <c r="F164" s="5">
        <f t="shared" si="8"/>
        <v>1.2945251901498606E-2</v>
      </c>
      <c r="G164" s="7">
        <v>37.251017897934084</v>
      </c>
      <c r="H164" s="7">
        <v>27.056615709014235</v>
      </c>
      <c r="I164" s="3">
        <v>76559.999999990396</v>
      </c>
      <c r="J164" s="6">
        <f t="shared" si="9"/>
        <v>0.19218314632123501</v>
      </c>
    </row>
    <row r="165" spans="1:10" x14ac:dyDescent="0.35">
      <c r="A165" s="2">
        <v>45210</v>
      </c>
      <c r="B165" s="3">
        <v>394720</v>
      </c>
      <c r="C165" s="4">
        <f t="shared" si="10"/>
        <v>4568.5185185185182</v>
      </c>
      <c r="D165" s="4">
        <v>392499</v>
      </c>
      <c r="E165" s="4">
        <f t="shared" si="11"/>
        <v>4542.8125</v>
      </c>
      <c r="F165" s="5">
        <f t="shared" si="8"/>
        <v>5.6267734089987843E-3</v>
      </c>
      <c r="G165" s="7">
        <v>32.997580563437374</v>
      </c>
      <c r="H165" s="7">
        <v>27.364177138224566</v>
      </c>
      <c r="I165" s="3">
        <v>76560.00000000131</v>
      </c>
      <c r="J165" s="6">
        <f t="shared" si="9"/>
        <v>0.19396027563843055</v>
      </c>
    </row>
    <row r="166" spans="1:10" x14ac:dyDescent="0.35">
      <c r="A166" s="2">
        <v>45211</v>
      </c>
      <c r="B166" s="3">
        <v>398800</v>
      </c>
      <c r="C166" s="4">
        <f t="shared" si="10"/>
        <v>4615.7407407407409</v>
      </c>
      <c r="D166" s="4">
        <v>392214</v>
      </c>
      <c r="E166" s="4">
        <f t="shared" si="11"/>
        <v>4539.5138888888887</v>
      </c>
      <c r="F166" s="5">
        <f t="shared" si="8"/>
        <v>1.6514543630892678E-2</v>
      </c>
      <c r="G166" s="7">
        <v>27.413741223671014</v>
      </c>
      <c r="H166" s="7">
        <v>26.970661985957875</v>
      </c>
      <c r="I166" s="3">
        <v>76319.999999996071</v>
      </c>
      <c r="J166" s="6">
        <f t="shared" si="9"/>
        <v>0.19137412236709145</v>
      </c>
    </row>
    <row r="167" spans="1:10" x14ac:dyDescent="0.35">
      <c r="A167" s="2">
        <v>45212</v>
      </c>
      <c r="B167" s="3">
        <v>398390</v>
      </c>
      <c r="C167" s="4">
        <f t="shared" si="10"/>
        <v>4610.9953703703704</v>
      </c>
      <c r="D167" s="4">
        <v>390830</v>
      </c>
      <c r="E167" s="4">
        <f t="shared" si="11"/>
        <v>4523.4953703703704</v>
      </c>
      <c r="F167" s="5">
        <f t="shared" si="8"/>
        <v>1.8976379929215092E-2</v>
      </c>
      <c r="G167" s="7">
        <v>29.518813223223475</v>
      </c>
      <c r="H167" s="7">
        <v>26.998418635005898</v>
      </c>
      <c r="I167" s="3">
        <v>75960.000000010041</v>
      </c>
      <c r="J167" s="6">
        <f t="shared" si="9"/>
        <v>0.19066743643166253</v>
      </c>
    </row>
    <row r="168" spans="1:10" x14ac:dyDescent="0.35">
      <c r="A168" s="2">
        <v>45213</v>
      </c>
      <c r="B168" s="3">
        <v>390480</v>
      </c>
      <c r="C168" s="4">
        <f t="shared" si="10"/>
        <v>4519.4444444444443</v>
      </c>
      <c r="D168" s="4">
        <v>388281</v>
      </c>
      <c r="E168" s="4">
        <f t="shared" si="11"/>
        <v>4493.9930555555557</v>
      </c>
      <c r="F168" s="5">
        <f t="shared" si="8"/>
        <v>5.6315304240934236E-3</v>
      </c>
      <c r="G168" s="7">
        <v>37.493907498463429</v>
      </c>
      <c r="H168" s="7">
        <v>27.661309157959433</v>
      </c>
      <c r="I168" s="3">
        <v>76920.000000003711</v>
      </c>
      <c r="J168" s="6">
        <f t="shared" si="9"/>
        <v>0.19698832206516009</v>
      </c>
    </row>
    <row r="169" spans="1:10" x14ac:dyDescent="0.35">
      <c r="A169" s="2">
        <v>45214</v>
      </c>
      <c r="B169" s="3">
        <v>390550</v>
      </c>
      <c r="C169" s="4">
        <f t="shared" si="10"/>
        <v>4520.2546296296296</v>
      </c>
      <c r="D169" s="4">
        <v>389789</v>
      </c>
      <c r="E169" s="4">
        <f t="shared" si="11"/>
        <v>4511.4467592592591</v>
      </c>
      <c r="F169" s="5">
        <f t="shared" si="8"/>
        <v>1.9485341185507617E-3</v>
      </c>
      <c r="G169" s="7">
        <v>35.37226219434131</v>
      </c>
      <c r="H169" s="7">
        <v>27.830290615798233</v>
      </c>
      <c r="I169" s="3">
        <v>75239.999999994325</v>
      </c>
      <c r="J169" s="6">
        <f t="shared" si="9"/>
        <v>0.19265138906668627</v>
      </c>
    </row>
    <row r="170" spans="1:10" x14ac:dyDescent="0.35">
      <c r="A170" s="2">
        <v>45215</v>
      </c>
      <c r="B170" s="3">
        <v>397070</v>
      </c>
      <c r="C170" s="4">
        <f t="shared" si="10"/>
        <v>4595.7175925925922</v>
      </c>
      <c r="D170" s="4">
        <v>393002</v>
      </c>
      <c r="E170" s="4">
        <f t="shared" si="11"/>
        <v>4548.6342592592591</v>
      </c>
      <c r="F170" s="5">
        <f t="shared" si="8"/>
        <v>1.0245044954290175E-2</v>
      </c>
      <c r="G170" s="7">
        <v>36.079383987709974</v>
      </c>
      <c r="H170" s="7">
        <v>27.487364948245901</v>
      </c>
      <c r="I170" s="3">
        <v>75599.999999996726</v>
      </c>
      <c r="J170" s="6">
        <f t="shared" si="9"/>
        <v>0.19039464074343748</v>
      </c>
    </row>
    <row r="171" spans="1:10" x14ac:dyDescent="0.35">
      <c r="A171" s="2">
        <v>45216</v>
      </c>
      <c r="B171" s="3">
        <v>397400</v>
      </c>
      <c r="C171" s="4">
        <f t="shared" si="10"/>
        <v>4599.5370370370365</v>
      </c>
      <c r="D171" s="4">
        <v>392891</v>
      </c>
      <c r="E171" s="4">
        <f t="shared" si="11"/>
        <v>4547.3495370370365</v>
      </c>
      <c r="F171" s="5">
        <f t="shared" si="8"/>
        <v>1.134625062908908E-2</v>
      </c>
      <c r="G171" s="7">
        <v>37.341942627075994</v>
      </c>
      <c r="H171" s="7">
        <v>27.350578761952693</v>
      </c>
      <c r="I171" s="3">
        <v>75239.999999994325</v>
      </c>
      <c r="J171" s="6">
        <f t="shared" si="9"/>
        <v>0.18933064921991527</v>
      </c>
    </row>
    <row r="172" spans="1:10" x14ac:dyDescent="0.35">
      <c r="A172" s="2">
        <v>45217</v>
      </c>
      <c r="B172" s="3">
        <v>398620</v>
      </c>
      <c r="C172" s="4">
        <f t="shared" si="10"/>
        <v>4613.6574074074069</v>
      </c>
      <c r="D172" s="4">
        <v>392216</v>
      </c>
      <c r="E172" s="4">
        <f t="shared" si="11"/>
        <v>4539.5370370370365</v>
      </c>
      <c r="F172" s="5">
        <f t="shared" si="8"/>
        <v>1.6065425718729619E-2</v>
      </c>
      <c r="G172" s="7">
        <v>37.869123475992176</v>
      </c>
      <c r="H172" s="7">
        <v>27.266870703928554</v>
      </c>
      <c r="I172" s="3">
        <v>75000.000000005457</v>
      </c>
      <c r="J172" s="6">
        <f t="shared" si="9"/>
        <v>0.18814911444484836</v>
      </c>
    </row>
    <row r="173" spans="1:10" x14ac:dyDescent="0.35">
      <c r="A173" s="2">
        <v>45218</v>
      </c>
      <c r="B173" s="3">
        <v>394700</v>
      </c>
      <c r="C173" s="4">
        <f t="shared" si="10"/>
        <v>4568.2870370370365</v>
      </c>
      <c r="D173" s="4">
        <v>392807</v>
      </c>
      <c r="E173" s="4">
        <f t="shared" si="11"/>
        <v>4546.3773148148148</v>
      </c>
      <c r="F173" s="5">
        <f t="shared" si="8"/>
        <v>4.7960476311122375E-3</v>
      </c>
      <c r="G173" s="7">
        <v>36.296024828984038</v>
      </c>
      <c r="H173" s="7">
        <v>27.595044337471496</v>
      </c>
      <c r="I173" s="3">
        <v>73919.999999992797</v>
      </c>
      <c r="J173" s="6">
        <f t="shared" si="9"/>
        <v>0.18728147960474487</v>
      </c>
    </row>
    <row r="174" spans="1:10" x14ac:dyDescent="0.35">
      <c r="A174" s="2">
        <v>45219</v>
      </c>
      <c r="B174" s="3">
        <v>396560</v>
      </c>
      <c r="C174" s="4">
        <f t="shared" si="10"/>
        <v>4589.8148148148148</v>
      </c>
      <c r="D174" s="4">
        <v>391106</v>
      </c>
      <c r="E174" s="4">
        <f t="shared" si="11"/>
        <v>4526.6898148148148</v>
      </c>
      <c r="F174" s="5">
        <f t="shared" si="8"/>
        <v>1.3753278192455113E-2</v>
      </c>
      <c r="G174" s="7">
        <v>37.421040952188825</v>
      </c>
      <c r="H174" s="7">
        <v>27.579816421222514</v>
      </c>
      <c r="I174" s="3">
        <v>75360.000000007858</v>
      </c>
      <c r="J174" s="6">
        <f t="shared" si="9"/>
        <v>0.19003429493647331</v>
      </c>
    </row>
    <row r="175" spans="1:10" x14ac:dyDescent="0.35">
      <c r="A175" s="2">
        <v>45220</v>
      </c>
      <c r="B175" s="3">
        <v>393120</v>
      </c>
      <c r="C175" s="4">
        <f t="shared" si="10"/>
        <v>4550</v>
      </c>
      <c r="D175" s="4">
        <v>389851</v>
      </c>
      <c r="E175" s="4">
        <f t="shared" si="11"/>
        <v>4512.1643518518513</v>
      </c>
      <c r="F175" s="5">
        <f t="shared" si="8"/>
        <v>8.3155270655270661E-3</v>
      </c>
      <c r="G175" s="7">
        <v>37.092345848595848</v>
      </c>
      <c r="H175" s="7">
        <v>27.821153846153845</v>
      </c>
      <c r="I175" s="3">
        <v>73320.000000006985</v>
      </c>
      <c r="J175" s="6">
        <f t="shared" si="9"/>
        <v>0.18650793650795428</v>
      </c>
    </row>
    <row r="176" spans="1:10" x14ac:dyDescent="0.35">
      <c r="A176" s="2">
        <v>45221</v>
      </c>
      <c r="B176" s="3">
        <v>390530</v>
      </c>
      <c r="C176" s="4">
        <f t="shared" si="10"/>
        <v>4520.0231481481478</v>
      </c>
      <c r="D176" s="4">
        <v>389124</v>
      </c>
      <c r="E176" s="4">
        <f t="shared" si="11"/>
        <v>4503.75</v>
      </c>
      <c r="F176" s="5">
        <f t="shared" si="8"/>
        <v>3.6002355772923977E-3</v>
      </c>
      <c r="G176" s="7">
        <v>37.338342764960437</v>
      </c>
      <c r="H176" s="7">
        <v>28.03465546820987</v>
      </c>
      <c r="I176" s="3">
        <v>72840.000000007421</v>
      </c>
      <c r="J176" s="6">
        <f t="shared" si="9"/>
        <v>0.18651576063300496</v>
      </c>
    </row>
    <row r="177" spans="1:10" x14ac:dyDescent="0.35">
      <c r="A177" s="2">
        <v>45222</v>
      </c>
      <c r="B177" s="3">
        <v>395990</v>
      </c>
      <c r="C177" s="4">
        <f t="shared" si="10"/>
        <v>4583.2175925925922</v>
      </c>
      <c r="D177" s="4">
        <v>391589</v>
      </c>
      <c r="E177" s="4">
        <f t="shared" si="11"/>
        <v>4532.2800925925922</v>
      </c>
      <c r="F177" s="5">
        <f t="shared" si="8"/>
        <v>1.1113917018106517E-2</v>
      </c>
      <c r="G177" s="7">
        <v>36.823513220030812</v>
      </c>
      <c r="H177" s="7">
        <v>27.619515644334452</v>
      </c>
      <c r="I177" s="3">
        <v>75119.999999997162</v>
      </c>
      <c r="J177" s="6">
        <f t="shared" si="9"/>
        <v>0.18970176014545106</v>
      </c>
    </row>
    <row r="178" spans="1:10" x14ac:dyDescent="0.35">
      <c r="A178" s="2">
        <v>45223</v>
      </c>
      <c r="B178" s="3">
        <v>396410</v>
      </c>
      <c r="C178" s="4">
        <f t="shared" si="10"/>
        <v>4588.0787037037035</v>
      </c>
      <c r="D178" s="4">
        <v>390673</v>
      </c>
      <c r="E178" s="4">
        <f t="shared" si="11"/>
        <v>4521.6782407407409</v>
      </c>
      <c r="F178" s="5">
        <f t="shared" si="8"/>
        <v>1.4472389697535381E-2</v>
      </c>
      <c r="G178" s="7">
        <v>36.784498372896749</v>
      </c>
      <c r="H178" s="7">
        <v>27.533129840316843</v>
      </c>
      <c r="I178" s="3">
        <v>75239.999999988868</v>
      </c>
      <c r="J178" s="6">
        <f t="shared" si="9"/>
        <v>0.1898034862894197</v>
      </c>
    </row>
    <row r="179" spans="1:10" x14ac:dyDescent="0.35">
      <c r="A179" s="2">
        <v>45224</v>
      </c>
      <c r="B179" s="3">
        <v>397260</v>
      </c>
      <c r="C179" s="4">
        <f t="shared" si="10"/>
        <v>4597.9166666666661</v>
      </c>
      <c r="D179" s="4">
        <v>390682</v>
      </c>
      <c r="E179" s="4">
        <f t="shared" si="11"/>
        <v>4521.7824074074069</v>
      </c>
      <c r="F179" s="5">
        <f t="shared" si="8"/>
        <v>1.6558425212707045E-2</v>
      </c>
      <c r="G179" s="7">
        <v>36.705792176408394</v>
      </c>
      <c r="H179" s="7">
        <v>27.502718622564569</v>
      </c>
      <c r="I179" s="3">
        <v>75479.999999999563</v>
      </c>
      <c r="J179" s="6">
        <f t="shared" si="9"/>
        <v>0.1900015103458681</v>
      </c>
    </row>
    <row r="180" spans="1:10" x14ac:dyDescent="0.35">
      <c r="A180" s="2">
        <v>45225</v>
      </c>
      <c r="B180" s="3">
        <v>394280</v>
      </c>
      <c r="C180" s="4">
        <f t="shared" si="10"/>
        <v>4563.4259259259252</v>
      </c>
      <c r="D180" s="4">
        <v>390555</v>
      </c>
      <c r="E180" s="4">
        <f t="shared" si="11"/>
        <v>4520.3125</v>
      </c>
      <c r="F180" s="5">
        <f t="shared" si="8"/>
        <v>9.44760068986507E-3</v>
      </c>
      <c r="G180" s="7">
        <v>37.637435325149639</v>
      </c>
      <c r="H180" s="7">
        <v>27.940311453789185</v>
      </c>
      <c r="I180" s="3">
        <v>75000.000000010914</v>
      </c>
      <c r="J180" s="6">
        <f t="shared" si="9"/>
        <v>0.19022014811811636</v>
      </c>
    </row>
    <row r="181" spans="1:10" x14ac:dyDescent="0.35">
      <c r="A181" s="2">
        <v>45226</v>
      </c>
      <c r="B181" s="3">
        <v>393940</v>
      </c>
      <c r="C181" s="4">
        <f t="shared" si="10"/>
        <v>4559.4907407407409</v>
      </c>
      <c r="D181" s="4">
        <v>390351</v>
      </c>
      <c r="E181" s="4">
        <f t="shared" si="11"/>
        <v>4517.9513888888887</v>
      </c>
      <c r="F181" s="5">
        <f t="shared" si="8"/>
        <v>9.1105244453470076E-3</v>
      </c>
      <c r="G181" s="7">
        <v>37.669919277047264</v>
      </c>
      <c r="H181" s="7">
        <v>28.021906889374016</v>
      </c>
      <c r="I181" s="3">
        <v>74640.000000003056</v>
      </c>
      <c r="J181" s="6">
        <f t="shared" si="9"/>
        <v>0.18947047773773432</v>
      </c>
    </row>
    <row r="182" spans="1:10" x14ac:dyDescent="0.35">
      <c r="A182" s="2">
        <v>45227</v>
      </c>
      <c r="B182" s="3">
        <v>390690</v>
      </c>
      <c r="C182" s="4">
        <f t="shared" si="10"/>
        <v>4521.875</v>
      </c>
      <c r="D182" s="4">
        <v>389588</v>
      </c>
      <c r="E182" s="4">
        <f t="shared" si="11"/>
        <v>4509.1203703703704</v>
      </c>
      <c r="F182" s="5">
        <f t="shared" si="8"/>
        <v>2.820650643732883E-3</v>
      </c>
      <c r="G182" s="7">
        <v>37.323051524226372</v>
      </c>
      <c r="H182" s="7">
        <v>28.052153881594101</v>
      </c>
      <c r="I182" s="3">
        <v>73799.999999979264</v>
      </c>
      <c r="J182" s="6">
        <f t="shared" si="9"/>
        <v>0.18889656761109644</v>
      </c>
    </row>
    <row r="183" spans="1:10" x14ac:dyDescent="0.35">
      <c r="A183" s="2">
        <v>45228</v>
      </c>
      <c r="B183" s="3">
        <v>391390</v>
      </c>
      <c r="C183" s="4">
        <f t="shared" si="10"/>
        <v>4529.9768518518513</v>
      </c>
      <c r="D183" s="4">
        <v>388619</v>
      </c>
      <c r="E183" s="4">
        <f t="shared" si="11"/>
        <v>4497.9050925925922</v>
      </c>
      <c r="F183" s="5">
        <f t="shared" si="8"/>
        <v>7.0798947341526352E-3</v>
      </c>
      <c r="G183" s="7">
        <v>37.256299343365953</v>
      </c>
      <c r="H183" s="7">
        <v>27.770561332686068</v>
      </c>
      <c r="I183" s="3">
        <v>73200.00000001528</v>
      </c>
      <c r="J183" s="6">
        <f t="shared" si="9"/>
        <v>0.18702572881273227</v>
      </c>
    </row>
    <row r="184" spans="1:10" x14ac:dyDescent="0.35">
      <c r="A184" s="2">
        <v>45229</v>
      </c>
      <c r="B184" s="3">
        <v>392810</v>
      </c>
      <c r="C184" s="4">
        <f t="shared" si="10"/>
        <v>4546.4120370370365</v>
      </c>
      <c r="D184" s="4">
        <v>391192</v>
      </c>
      <c r="E184" s="4">
        <f t="shared" si="11"/>
        <v>4527.6851851851852</v>
      </c>
      <c r="F184" s="5">
        <f t="shared" si="8"/>
        <v>4.1190397393141721E-3</v>
      </c>
      <c r="G184" s="7">
        <v>39.080196532674833</v>
      </c>
      <c r="H184" s="7">
        <v>27.381940378299941</v>
      </c>
      <c r="I184" s="3">
        <v>72959.999999988213</v>
      </c>
      <c r="J184" s="6">
        <f t="shared" si="9"/>
        <v>0.18573865227460659</v>
      </c>
    </row>
    <row r="185" spans="1:10" x14ac:dyDescent="0.35">
      <c r="A185" s="2">
        <v>45230</v>
      </c>
      <c r="B185" s="3">
        <v>397190</v>
      </c>
      <c r="C185" s="4">
        <f t="shared" si="10"/>
        <v>4597.1064814814808</v>
      </c>
      <c r="D185" s="4">
        <v>391261</v>
      </c>
      <c r="E185" s="4">
        <f t="shared" si="11"/>
        <v>4528.4837962962956</v>
      </c>
      <c r="F185" s="5">
        <f t="shared" si="8"/>
        <v>1.4927364737279387E-2</v>
      </c>
      <c r="G185" s="7">
        <v>36.712261134469649</v>
      </c>
      <c r="H185" s="7">
        <v>27.108492157405777</v>
      </c>
      <c r="I185" s="3">
        <v>75000.000000010914</v>
      </c>
      <c r="J185" s="6">
        <f t="shared" si="9"/>
        <v>0.18882650620612532</v>
      </c>
    </row>
    <row r="186" spans="1:10" x14ac:dyDescent="0.35">
      <c r="A186" s="2">
        <v>45231</v>
      </c>
      <c r="B186" s="3">
        <v>397720</v>
      </c>
      <c r="C186" s="4">
        <f t="shared" si="10"/>
        <v>4603.2407407407409</v>
      </c>
      <c r="D186" s="4">
        <v>390802</v>
      </c>
      <c r="E186" s="4">
        <f t="shared" si="11"/>
        <v>4523.1712962962956</v>
      </c>
      <c r="F186" s="5">
        <f t="shared" si="8"/>
        <v>1.7394146635824198E-2</v>
      </c>
      <c r="G186" s="7">
        <v>36.663338529618827</v>
      </c>
      <c r="H186" s="7">
        <v>27.157769284924068</v>
      </c>
      <c r="I186" s="3">
        <v>75599.999999980355</v>
      </c>
      <c r="J186" s="6">
        <f t="shared" si="9"/>
        <v>0.19008347581207974</v>
      </c>
    </row>
    <row r="187" spans="1:10" x14ac:dyDescent="0.35">
      <c r="A187" s="2">
        <v>45232</v>
      </c>
      <c r="B187" s="3">
        <v>397270</v>
      </c>
      <c r="C187" s="4">
        <f t="shared" si="10"/>
        <v>4598.0324074074069</v>
      </c>
      <c r="D187" s="4">
        <v>392489</v>
      </c>
      <c r="E187" s="4">
        <f t="shared" si="11"/>
        <v>4542.6967592592591</v>
      </c>
      <c r="F187" s="5">
        <f t="shared" si="8"/>
        <v>1.2034636393384852E-2</v>
      </c>
      <c r="G187" s="7">
        <v>36.704868225639991</v>
      </c>
      <c r="H187" s="7">
        <v>27.188531729050773</v>
      </c>
      <c r="I187" s="3">
        <v>76080.000000018117</v>
      </c>
      <c r="J187" s="6">
        <f t="shared" si="9"/>
        <v>0.19150703551745191</v>
      </c>
    </row>
    <row r="188" spans="1:10" x14ac:dyDescent="0.35">
      <c r="A188" s="2">
        <v>45233</v>
      </c>
      <c r="B188" s="3">
        <v>396260</v>
      </c>
      <c r="C188" s="4">
        <f t="shared" si="10"/>
        <v>4586.3425925925922</v>
      </c>
      <c r="D188" s="4">
        <v>391441</v>
      </c>
      <c r="E188" s="4">
        <f t="shared" si="11"/>
        <v>4530.5671296296296</v>
      </c>
      <c r="F188" s="5">
        <f t="shared" si="8"/>
        <v>1.2161207288144148E-2</v>
      </c>
      <c r="G188" s="7">
        <v>38.094660071670113</v>
      </c>
      <c r="H188" s="7">
        <v>27.543552213193358</v>
      </c>
      <c r="I188" s="3">
        <v>75959.999999988213</v>
      </c>
      <c r="J188" s="6">
        <f t="shared" si="9"/>
        <v>0.19169232322209714</v>
      </c>
    </row>
    <row r="189" spans="1:10" x14ac:dyDescent="0.35">
      <c r="A189" s="2">
        <v>45234</v>
      </c>
      <c r="B189" s="3">
        <v>388030</v>
      </c>
      <c r="C189" s="4">
        <f t="shared" si="10"/>
        <v>4491.0879629629626</v>
      </c>
      <c r="D189" s="4">
        <v>389248</v>
      </c>
      <c r="E189" s="4">
        <f t="shared" si="11"/>
        <v>4505.1851851851852</v>
      </c>
      <c r="F189" s="5">
        <f t="shared" si="8"/>
        <v>-3.1389325567610753E-3</v>
      </c>
      <c r="G189" s="7">
        <v>38.243661572558821</v>
      </c>
      <c r="H189" s="7">
        <v>27.865139293353607</v>
      </c>
      <c r="I189" s="3">
        <v>73680.000000014843</v>
      </c>
      <c r="J189" s="6">
        <f t="shared" si="9"/>
        <v>0.18988222560115156</v>
      </c>
    </row>
    <row r="190" spans="1:10" x14ac:dyDescent="0.35">
      <c r="A190" s="2">
        <v>45235</v>
      </c>
      <c r="B190" s="3">
        <v>388860</v>
      </c>
      <c r="C190" s="4">
        <f t="shared" si="10"/>
        <v>4500.6944444444443</v>
      </c>
      <c r="D190" s="4">
        <v>388562</v>
      </c>
      <c r="E190" s="4">
        <f t="shared" si="11"/>
        <v>4497.2453703703704</v>
      </c>
      <c r="F190" s="5">
        <f t="shared" si="8"/>
        <v>7.6634264259630715E-4</v>
      </c>
      <c r="G190" s="7">
        <v>38.162032608136606</v>
      </c>
      <c r="H190" s="7">
        <v>27.71831507483413</v>
      </c>
      <c r="I190" s="3">
        <v>73439.99999999869</v>
      </c>
      <c r="J190" s="6">
        <f t="shared" si="9"/>
        <v>0.18885974386668386</v>
      </c>
    </row>
    <row r="191" spans="1:10" x14ac:dyDescent="0.35">
      <c r="A191" s="2">
        <v>45236</v>
      </c>
      <c r="B191" s="3">
        <v>396820</v>
      </c>
      <c r="C191" s="4">
        <f t="shared" si="10"/>
        <v>4592.8240740740739</v>
      </c>
      <c r="D191" s="4">
        <v>390875</v>
      </c>
      <c r="E191" s="4">
        <f t="shared" si="11"/>
        <v>4524.0162037037035</v>
      </c>
      <c r="F191" s="5">
        <f t="shared" si="8"/>
        <v>1.4981603749810998E-2</v>
      </c>
      <c r="G191" s="7">
        <v>36.746492112292728</v>
      </c>
      <c r="H191" s="7">
        <v>29.01686910941989</v>
      </c>
      <c r="I191" s="3">
        <v>73919.999999992797</v>
      </c>
      <c r="J191" s="6">
        <f t="shared" si="9"/>
        <v>0.18628093342067636</v>
      </c>
    </row>
    <row r="192" spans="1:10" x14ac:dyDescent="0.35">
      <c r="A192" s="2">
        <v>45237</v>
      </c>
      <c r="B192" s="3">
        <v>393440</v>
      </c>
      <c r="C192" s="4">
        <f t="shared" si="10"/>
        <v>4553.7037037037035</v>
      </c>
      <c r="D192" s="4">
        <v>391503</v>
      </c>
      <c r="E192" s="4">
        <f t="shared" si="11"/>
        <v>4531.2847222222217</v>
      </c>
      <c r="F192" s="5">
        <f t="shared" si="8"/>
        <v>4.9232411549410332E-3</v>
      </c>
      <c r="G192" s="7">
        <v>37.062177206181374</v>
      </c>
      <c r="H192" s="7">
        <v>27.798525823505489</v>
      </c>
      <c r="I192" s="3">
        <v>74400.000000014188</v>
      </c>
      <c r="J192" s="6">
        <f t="shared" si="9"/>
        <v>0.18910126067510724</v>
      </c>
    </row>
    <row r="193" spans="1:10" x14ac:dyDescent="0.35">
      <c r="A193" s="2">
        <v>45238</v>
      </c>
      <c r="B193" s="3">
        <v>397200</v>
      </c>
      <c r="C193" s="4">
        <f t="shared" si="10"/>
        <v>4597.2222222222217</v>
      </c>
      <c r="D193" s="4">
        <v>391492</v>
      </c>
      <c r="E193" s="4">
        <f t="shared" si="11"/>
        <v>4531.1574074074069</v>
      </c>
      <c r="F193" s="5">
        <f t="shared" si="8"/>
        <v>1.4370594159113797E-2</v>
      </c>
      <c r="G193" s="7">
        <v>36.711336858006042</v>
      </c>
      <c r="H193" s="7">
        <v>27.278836858006041</v>
      </c>
      <c r="I193" s="3">
        <v>74399.999999975989</v>
      </c>
      <c r="J193" s="6">
        <f t="shared" si="9"/>
        <v>0.18731117824767368</v>
      </c>
    </row>
    <row r="194" spans="1:10" x14ac:dyDescent="0.35">
      <c r="A194" s="2">
        <v>45239</v>
      </c>
      <c r="B194" s="3">
        <v>397000</v>
      </c>
      <c r="C194" s="4">
        <f t="shared" si="10"/>
        <v>4594.9074074074069</v>
      </c>
      <c r="D194" s="4">
        <v>391501</v>
      </c>
      <c r="E194" s="4">
        <f t="shared" si="11"/>
        <v>4531.2615740740739</v>
      </c>
      <c r="F194" s="5">
        <f t="shared" si="8"/>
        <v>1.3851385390428211E-2</v>
      </c>
      <c r="G194" s="7">
        <v>36.735481108312342</v>
      </c>
      <c r="H194" s="7">
        <v>26.18034256926952</v>
      </c>
      <c r="I194" s="3">
        <v>73200.000000009823</v>
      </c>
      <c r="J194" s="6">
        <f t="shared" si="9"/>
        <v>0.18438287153654867</v>
      </c>
    </row>
    <row r="195" spans="1:10" x14ac:dyDescent="0.35">
      <c r="A195" s="2">
        <v>45240</v>
      </c>
      <c r="B195" s="3">
        <v>392980</v>
      </c>
      <c r="C195" s="4">
        <f t="shared" si="10"/>
        <v>4548.3796296296296</v>
      </c>
      <c r="D195" s="4">
        <v>391690</v>
      </c>
      <c r="E195" s="4">
        <f t="shared" si="11"/>
        <v>4533.4490740740739</v>
      </c>
      <c r="F195" s="5">
        <f t="shared" si="8"/>
        <v>3.2826098020255485E-3</v>
      </c>
      <c r="G195" s="7">
        <v>37.111267748994862</v>
      </c>
      <c r="H195" s="7">
        <v>27.514148302712606</v>
      </c>
      <c r="I195" s="3">
        <v>74280.000000011569</v>
      </c>
      <c r="J195" s="6">
        <f t="shared" si="9"/>
        <v>0.18901725278643078</v>
      </c>
    </row>
    <row r="196" spans="1:10" x14ac:dyDescent="0.35">
      <c r="A196" s="2">
        <v>45241</v>
      </c>
      <c r="B196" s="3">
        <v>390380</v>
      </c>
      <c r="C196" s="4">
        <f t="shared" si="10"/>
        <v>4518.2870370370365</v>
      </c>
      <c r="D196" s="4">
        <v>388705</v>
      </c>
      <c r="E196" s="4">
        <f t="shared" si="11"/>
        <v>4498.9004629629626</v>
      </c>
      <c r="F196" s="5">
        <f t="shared" ref="F196:F246" si="12">(B196-D196)/B196</f>
        <v>4.2906911214713869E-3</v>
      </c>
      <c r="G196" s="7">
        <v>37.358435370664481</v>
      </c>
      <c r="H196" s="7">
        <v>27.842409959526616</v>
      </c>
      <c r="I196" s="3">
        <v>73439.999999993233</v>
      </c>
      <c r="J196" s="6">
        <f t="shared" ref="J196:J246" si="13">I196/B196</f>
        <v>0.18812439161840575</v>
      </c>
    </row>
    <row r="197" spans="1:10" x14ac:dyDescent="0.35">
      <c r="A197" s="2">
        <v>45242</v>
      </c>
      <c r="B197" s="3">
        <v>390820</v>
      </c>
      <c r="C197" s="4">
        <f t="shared" ref="C197:C246" si="14">B197/86.4</f>
        <v>4523.3796296296296</v>
      </c>
      <c r="D197" s="4">
        <v>389220</v>
      </c>
      <c r="E197" s="4">
        <f t="shared" ref="E197:E246" si="15">D197/86.4</f>
        <v>4504.8611111111104</v>
      </c>
      <c r="F197" s="5">
        <f t="shared" si="12"/>
        <v>4.0939562970165296E-3</v>
      </c>
      <c r="G197" s="7">
        <v>37.316375825188068</v>
      </c>
      <c r="H197" s="7">
        <v>27.666214625658871</v>
      </c>
      <c r="I197" s="3">
        <v>72719.999999993888</v>
      </c>
      <c r="J197" s="6">
        <f t="shared" si="13"/>
        <v>0.18607031369938562</v>
      </c>
    </row>
    <row r="198" spans="1:10" x14ac:dyDescent="0.35">
      <c r="A198" s="2">
        <v>45243</v>
      </c>
      <c r="B198" s="3">
        <v>389000</v>
      </c>
      <c r="C198" s="4">
        <f t="shared" si="14"/>
        <v>4502.3148148148148</v>
      </c>
      <c r="D198" s="4">
        <v>386553</v>
      </c>
      <c r="E198" s="4">
        <f t="shared" si="15"/>
        <v>4473.9930555555557</v>
      </c>
      <c r="F198" s="5">
        <f t="shared" si="12"/>
        <v>6.2904884318766069E-3</v>
      </c>
      <c r="G198" s="7">
        <v>37.490966580976867</v>
      </c>
      <c r="H198" s="7">
        <v>27.766550128534703</v>
      </c>
      <c r="I198" s="3">
        <v>72479.999999999563</v>
      </c>
      <c r="J198" s="6">
        <f t="shared" si="13"/>
        <v>0.18632390745501173</v>
      </c>
    </row>
    <row r="199" spans="1:10" x14ac:dyDescent="0.35">
      <c r="A199" s="2">
        <v>45244</v>
      </c>
      <c r="B199" s="3">
        <v>387110</v>
      </c>
      <c r="C199" s="4">
        <f t="shared" si="14"/>
        <v>4480.4398148148148</v>
      </c>
      <c r="D199" s="4">
        <v>387346</v>
      </c>
      <c r="E199" s="4">
        <f t="shared" si="15"/>
        <v>4483.1712962962956</v>
      </c>
      <c r="F199" s="5">
        <f t="shared" si="12"/>
        <v>-6.0964583710056575E-4</v>
      </c>
      <c r="G199" s="7">
        <v>37.668215752628448</v>
      </c>
      <c r="H199" s="7">
        <v>28.194590684818269</v>
      </c>
      <c r="I199" s="3">
        <v>72120.00000001899</v>
      </c>
      <c r="J199" s="6">
        <f t="shared" si="13"/>
        <v>0.18630363462586602</v>
      </c>
    </row>
    <row r="200" spans="1:10" x14ac:dyDescent="0.35">
      <c r="A200" s="2">
        <v>45245</v>
      </c>
      <c r="B200" s="3">
        <v>390250</v>
      </c>
      <c r="C200" s="4">
        <f t="shared" si="14"/>
        <v>4516.7824074074069</v>
      </c>
      <c r="D200" s="4">
        <v>386959</v>
      </c>
      <c r="E200" s="4">
        <f t="shared" si="15"/>
        <v>4478.6921296296296</v>
      </c>
      <c r="F200" s="5">
        <f t="shared" si="12"/>
        <v>8.4330557335041637E-3</v>
      </c>
      <c r="G200" s="7">
        <v>37.365132607303011</v>
      </c>
      <c r="H200" s="7">
        <v>27.851684817424729</v>
      </c>
      <c r="I200" s="3">
        <v>72959.999999988213</v>
      </c>
      <c r="J200" s="6">
        <f t="shared" si="13"/>
        <v>0.1869570787956136</v>
      </c>
    </row>
    <row r="201" spans="1:10" x14ac:dyDescent="0.35">
      <c r="A201" s="2">
        <v>45246</v>
      </c>
      <c r="B201" s="3">
        <v>389750</v>
      </c>
      <c r="C201" s="4">
        <f t="shared" si="14"/>
        <v>4510.9953703703704</v>
      </c>
      <c r="D201" s="4">
        <v>387395</v>
      </c>
      <c r="E201" s="4">
        <f t="shared" si="15"/>
        <v>4483.7384259259252</v>
      </c>
      <c r="F201" s="5">
        <f t="shared" si="12"/>
        <v>6.0423348300192433E-3</v>
      </c>
      <c r="G201" s="7">
        <v>37.413067350865937</v>
      </c>
      <c r="H201" s="7">
        <v>27.858365618986529</v>
      </c>
      <c r="I201" s="3">
        <v>72719.999999993888</v>
      </c>
      <c r="J201" s="6">
        <f t="shared" si="13"/>
        <v>0.18658114175752119</v>
      </c>
    </row>
    <row r="202" spans="1:10" x14ac:dyDescent="0.35">
      <c r="A202" s="2">
        <v>45247</v>
      </c>
      <c r="B202" s="3">
        <v>386790</v>
      </c>
      <c r="C202" s="4">
        <f t="shared" si="14"/>
        <v>4476.7361111111104</v>
      </c>
      <c r="D202" s="4">
        <v>387139</v>
      </c>
      <c r="E202" s="4">
        <f t="shared" si="15"/>
        <v>4480.7754629629626</v>
      </c>
      <c r="F202" s="5">
        <f t="shared" si="12"/>
        <v>-9.0229840481915254E-4</v>
      </c>
      <c r="G202" s="7">
        <v>37.699379508260293</v>
      </c>
      <c r="H202" s="7">
        <v>28.364275188086559</v>
      </c>
      <c r="I202" s="3">
        <v>71639.999999997599</v>
      </c>
      <c r="J202" s="6">
        <f t="shared" si="13"/>
        <v>0.18521678430155278</v>
      </c>
    </row>
    <row r="203" spans="1:10" x14ac:dyDescent="0.35">
      <c r="A203" s="2">
        <v>45248</v>
      </c>
      <c r="B203" s="3">
        <v>384620</v>
      </c>
      <c r="C203" s="4">
        <f t="shared" si="14"/>
        <v>4451.6203703703704</v>
      </c>
      <c r="D203" s="4">
        <v>384737</v>
      </c>
      <c r="E203" s="4">
        <f t="shared" si="15"/>
        <v>4452.9745370370365</v>
      </c>
      <c r="F203" s="5">
        <f t="shared" si="12"/>
        <v>-3.0419634964380427E-4</v>
      </c>
      <c r="G203" s="7">
        <v>38.582725807290309</v>
      </c>
      <c r="H203" s="7">
        <v>28.435993968072385</v>
      </c>
      <c r="I203" s="3">
        <v>71160.000000008949</v>
      </c>
      <c r="J203" s="6">
        <f t="shared" si="13"/>
        <v>0.18501377983466524</v>
      </c>
    </row>
    <row r="204" spans="1:10" x14ac:dyDescent="0.35">
      <c r="A204" s="2">
        <v>45249</v>
      </c>
      <c r="B204" s="3">
        <v>381660</v>
      </c>
      <c r="C204" s="4">
        <f t="shared" si="14"/>
        <v>4417.3611111111104</v>
      </c>
      <c r="D204" s="4">
        <v>385736</v>
      </c>
      <c r="E204" s="4">
        <f t="shared" si="15"/>
        <v>4464.5370370370365</v>
      </c>
      <c r="F204" s="5">
        <f t="shared" si="12"/>
        <v>-1.0679662526856364E-2</v>
      </c>
      <c r="G204" s="7">
        <v>38.88195776345438</v>
      </c>
      <c r="H204" s="7">
        <v>29.012513755698791</v>
      </c>
      <c r="I204" s="3">
        <v>70919.999999992797</v>
      </c>
      <c r="J204" s="6">
        <f t="shared" si="13"/>
        <v>0.18581983964783524</v>
      </c>
    </row>
    <row r="205" spans="1:10" x14ac:dyDescent="0.35">
      <c r="A205" s="2">
        <v>45250</v>
      </c>
      <c r="B205" s="3">
        <v>386160</v>
      </c>
      <c r="C205" s="4">
        <f t="shared" si="14"/>
        <v>4469.4444444444443</v>
      </c>
      <c r="D205" s="4">
        <v>387592</v>
      </c>
      <c r="E205" s="4">
        <f t="shared" si="15"/>
        <v>4486.0185185185182</v>
      </c>
      <c r="F205" s="5">
        <f t="shared" si="12"/>
        <v>-3.7083074373316762E-3</v>
      </c>
      <c r="G205" s="7">
        <v>37.760884089496585</v>
      </c>
      <c r="H205" s="7">
        <v>28.146674953387198</v>
      </c>
      <c r="I205" s="3">
        <v>71399.999999997817</v>
      </c>
      <c r="J205" s="6">
        <f t="shared" si="13"/>
        <v>0.18489745183343126</v>
      </c>
    </row>
    <row r="206" spans="1:10" x14ac:dyDescent="0.35">
      <c r="A206" s="2">
        <v>45251</v>
      </c>
      <c r="B206" s="3">
        <v>385470</v>
      </c>
      <c r="C206" s="4">
        <f t="shared" si="14"/>
        <v>4461.458333333333</v>
      </c>
      <c r="D206" s="4">
        <v>387167</v>
      </c>
      <c r="E206" s="4">
        <f t="shared" si="15"/>
        <v>4481.0995370370365</v>
      </c>
      <c r="F206" s="5">
        <f t="shared" si="12"/>
        <v>-4.4024178275871018E-3</v>
      </c>
      <c r="G206" s="7">
        <v>38.497647028303113</v>
      </c>
      <c r="H206" s="7">
        <v>28.461405556852672</v>
      </c>
      <c r="I206" s="3">
        <v>71159.999999998035</v>
      </c>
      <c r="J206" s="6">
        <f t="shared" si="13"/>
        <v>0.18460580589928668</v>
      </c>
    </row>
    <row r="207" spans="1:10" x14ac:dyDescent="0.35">
      <c r="A207" s="2">
        <v>45252</v>
      </c>
      <c r="B207" s="3">
        <v>392440</v>
      </c>
      <c r="C207" s="4">
        <f t="shared" si="14"/>
        <v>4542.1296296296296</v>
      </c>
      <c r="D207" s="4">
        <v>387046</v>
      </c>
      <c r="E207" s="4">
        <f t="shared" si="15"/>
        <v>4479.6990740740739</v>
      </c>
      <c r="F207" s="5">
        <f t="shared" si="12"/>
        <v>1.3744776271531953E-2</v>
      </c>
      <c r="G207" s="7">
        <v>37.156617572112935</v>
      </c>
      <c r="H207" s="7">
        <v>27.869360921414739</v>
      </c>
      <c r="I207" s="3">
        <v>72479.999999999563</v>
      </c>
      <c r="J207" s="6">
        <f t="shared" si="13"/>
        <v>0.18469065334828141</v>
      </c>
    </row>
    <row r="208" spans="1:10" x14ac:dyDescent="0.35">
      <c r="A208" s="2">
        <v>45253</v>
      </c>
      <c r="B208" s="3">
        <v>385400</v>
      </c>
      <c r="C208" s="4">
        <f t="shared" si="14"/>
        <v>4460.6481481481478</v>
      </c>
      <c r="D208" s="4">
        <v>387532</v>
      </c>
      <c r="E208" s="4">
        <f t="shared" si="15"/>
        <v>4485.3240740740739</v>
      </c>
      <c r="F208" s="5">
        <f t="shared" si="12"/>
        <v>-5.5319148936170213E-3</v>
      </c>
      <c r="G208" s="7">
        <v>37.84116761805916</v>
      </c>
      <c r="H208" s="7">
        <v>28.437197716658016</v>
      </c>
      <c r="I208" s="3">
        <v>71640.000000019427</v>
      </c>
      <c r="J208" s="6">
        <f t="shared" si="13"/>
        <v>0.18588479501821337</v>
      </c>
    </row>
    <row r="209" spans="1:10" x14ac:dyDescent="0.35">
      <c r="A209" s="2">
        <v>45254</v>
      </c>
      <c r="B209" s="3">
        <v>391570</v>
      </c>
      <c r="C209" s="4">
        <f t="shared" si="14"/>
        <v>4532.0601851851852</v>
      </c>
      <c r="D209" s="4">
        <v>387204</v>
      </c>
      <c r="E209" s="4">
        <f t="shared" si="15"/>
        <v>4481.5277777777774</v>
      </c>
      <c r="F209" s="5">
        <f t="shared" si="12"/>
        <v>1.114998595398013E-2</v>
      </c>
      <c r="G209" s="7">
        <v>37.244901294787653</v>
      </c>
      <c r="H209" s="7">
        <v>28.018024874224277</v>
      </c>
      <c r="I209" s="3">
        <v>72839.999999985594</v>
      </c>
      <c r="J209" s="6">
        <f t="shared" si="13"/>
        <v>0.18602037949788183</v>
      </c>
    </row>
    <row r="210" spans="1:10" x14ac:dyDescent="0.35">
      <c r="A210" s="2">
        <v>45255</v>
      </c>
      <c r="B210" s="3">
        <v>382000</v>
      </c>
      <c r="C210" s="4">
        <f t="shared" si="14"/>
        <v>4421.2962962962956</v>
      </c>
      <c r="D210" s="4">
        <v>385535</v>
      </c>
      <c r="E210" s="4">
        <f t="shared" si="15"/>
        <v>4462.2106481481478</v>
      </c>
      <c r="F210" s="5">
        <f t="shared" si="12"/>
        <v>-9.2539267015706809E-3</v>
      </c>
      <c r="G210" s="7">
        <v>36.839219895287961</v>
      </c>
      <c r="H210" s="7">
        <v>28.808858638743455</v>
      </c>
      <c r="I210" s="3">
        <v>71160.000000003492</v>
      </c>
      <c r="J210" s="6">
        <f t="shared" si="13"/>
        <v>0.18628272251309816</v>
      </c>
    </row>
    <row r="211" spans="1:10" x14ac:dyDescent="0.35">
      <c r="A211" s="2">
        <v>45256</v>
      </c>
      <c r="B211" s="3">
        <v>387290</v>
      </c>
      <c r="C211" s="4">
        <f t="shared" si="14"/>
        <v>4482.5231481481478</v>
      </c>
      <c r="D211" s="4">
        <v>384481</v>
      </c>
      <c r="E211" s="4">
        <f t="shared" si="15"/>
        <v>4450.0115740740739</v>
      </c>
      <c r="F211" s="5">
        <f t="shared" si="12"/>
        <v>7.2529628960210698E-3</v>
      </c>
      <c r="G211" s="7">
        <v>35.675798497250121</v>
      </c>
      <c r="H211" s="7">
        <v>28.298422370833226</v>
      </c>
      <c r="I211" s="3">
        <v>71879.999999991924</v>
      </c>
      <c r="J211" s="6">
        <f t="shared" si="13"/>
        <v>0.18559735598644925</v>
      </c>
    </row>
    <row r="212" spans="1:10" x14ac:dyDescent="0.35">
      <c r="A212" s="2">
        <v>45257</v>
      </c>
      <c r="B212" s="3">
        <v>386070</v>
      </c>
      <c r="C212" s="4">
        <f t="shared" si="14"/>
        <v>4468.4027777777774</v>
      </c>
      <c r="D212" s="4">
        <v>387733</v>
      </c>
      <c r="E212" s="4">
        <f t="shared" si="15"/>
        <v>4487.6504629629626</v>
      </c>
      <c r="F212" s="5">
        <f t="shared" si="12"/>
        <v>-4.307509000958375E-3</v>
      </c>
      <c r="G212" s="7">
        <v>37.113176366980085</v>
      </c>
      <c r="H212" s="7">
        <v>28.857067371202113</v>
      </c>
      <c r="I212" s="3">
        <v>71760.000000005675</v>
      </c>
      <c r="J212" s="6">
        <f t="shared" si="13"/>
        <v>0.18587302820733462</v>
      </c>
    </row>
    <row r="213" spans="1:10" x14ac:dyDescent="0.35">
      <c r="A213" s="2">
        <v>45258</v>
      </c>
      <c r="B213" s="3">
        <v>386260</v>
      </c>
      <c r="C213" s="4">
        <f t="shared" si="14"/>
        <v>4470.6018518518513</v>
      </c>
      <c r="D213" s="4">
        <v>387374</v>
      </c>
      <c r="E213" s="4">
        <f t="shared" si="15"/>
        <v>4483.4953703703704</v>
      </c>
      <c r="F213" s="5">
        <f t="shared" si="12"/>
        <v>-2.8840677264019053E-3</v>
      </c>
      <c r="G213" s="7">
        <v>37.094920519857091</v>
      </c>
      <c r="H213" s="7">
        <v>28.432506601770829</v>
      </c>
      <c r="I213" s="3">
        <v>71280.000000011569</v>
      </c>
      <c r="J213" s="6">
        <f t="shared" si="13"/>
        <v>0.18453891161396874</v>
      </c>
    </row>
    <row r="214" spans="1:10" x14ac:dyDescent="0.35">
      <c r="A214" s="2">
        <v>45259</v>
      </c>
      <c r="B214" s="3">
        <v>386380</v>
      </c>
      <c r="C214" s="4">
        <f t="shared" si="14"/>
        <v>4471.9907407407409</v>
      </c>
      <c r="D214" s="4">
        <v>392006</v>
      </c>
      <c r="E214" s="4">
        <f t="shared" si="15"/>
        <v>4537.1064814814808</v>
      </c>
      <c r="F214" s="5">
        <f t="shared" si="12"/>
        <v>-1.4560795072208706E-2</v>
      </c>
      <c r="G214" s="7">
        <v>32.082952016149903</v>
      </c>
      <c r="H214" s="7">
        <v>28.59949272736684</v>
      </c>
      <c r="I214" s="3">
        <v>71999.999999983629</v>
      </c>
      <c r="J214" s="6">
        <f t="shared" si="13"/>
        <v>0.18634504891553297</v>
      </c>
    </row>
    <row r="215" spans="1:10" x14ac:dyDescent="0.35">
      <c r="A215" s="2">
        <v>45260</v>
      </c>
      <c r="B215" s="3">
        <v>392800</v>
      </c>
      <c r="C215" s="4">
        <f t="shared" si="14"/>
        <v>4546.2962962962956</v>
      </c>
      <c r="D215" s="4">
        <v>394524</v>
      </c>
      <c r="E215" s="4">
        <f t="shared" si="15"/>
        <v>4566.25</v>
      </c>
      <c r="F215" s="5">
        <f t="shared" si="12"/>
        <v>-4.3890020366598777E-3</v>
      </c>
      <c r="G215" s="7">
        <v>25.11103869653768</v>
      </c>
      <c r="H215" s="7">
        <v>27.959114052953158</v>
      </c>
      <c r="I215" s="3">
        <v>73199.999999993452</v>
      </c>
      <c r="J215" s="6">
        <f t="shared" si="13"/>
        <v>0.18635437881872061</v>
      </c>
    </row>
    <row r="216" spans="1:10" x14ac:dyDescent="0.35">
      <c r="A216" s="2">
        <v>45261</v>
      </c>
      <c r="B216" s="3">
        <v>383730</v>
      </c>
      <c r="C216" s="4">
        <f t="shared" si="14"/>
        <v>4441.3194444444443</v>
      </c>
      <c r="D216" s="4">
        <v>390328</v>
      </c>
      <c r="E216" s="4">
        <f t="shared" si="15"/>
        <v>4517.6851851851852</v>
      </c>
      <c r="F216" s="5">
        <f t="shared" si="12"/>
        <v>-1.7194381466135042E-2</v>
      </c>
      <c r="G216" s="7">
        <v>32.559872827248327</v>
      </c>
      <c r="H216" s="7">
        <v>28.826503009928857</v>
      </c>
      <c r="I216" s="3">
        <v>71040.000000000873</v>
      </c>
      <c r="J216" s="6">
        <f t="shared" si="13"/>
        <v>0.1851301696505378</v>
      </c>
    </row>
    <row r="217" spans="1:10" x14ac:dyDescent="0.35">
      <c r="A217" s="2">
        <v>45262</v>
      </c>
      <c r="B217" s="3">
        <v>392770</v>
      </c>
      <c r="C217" s="4">
        <f t="shared" si="14"/>
        <v>4545.9490740740739</v>
      </c>
      <c r="D217" s="4">
        <v>391336</v>
      </c>
      <c r="E217" s="4">
        <f t="shared" si="15"/>
        <v>4529.3518518518513</v>
      </c>
      <c r="F217" s="5">
        <f t="shared" si="12"/>
        <v>3.650991674516893E-3</v>
      </c>
      <c r="G217" s="7">
        <v>40.60073834559666</v>
      </c>
      <c r="H217" s="7">
        <v>28.681900348804643</v>
      </c>
      <c r="I217" s="3">
        <v>73320.000000012442</v>
      </c>
      <c r="J217" s="6">
        <f t="shared" si="13"/>
        <v>0.1866741349899749</v>
      </c>
    </row>
    <row r="218" spans="1:10" x14ac:dyDescent="0.35">
      <c r="A218" s="2">
        <v>45263</v>
      </c>
      <c r="B218" s="3">
        <v>382990</v>
      </c>
      <c r="C218" s="4">
        <f t="shared" si="14"/>
        <v>4432.7546296296296</v>
      </c>
      <c r="D218" s="4">
        <v>390494</v>
      </c>
      <c r="E218" s="4">
        <f t="shared" si="15"/>
        <v>4519.6064814814808</v>
      </c>
      <c r="F218" s="5">
        <f t="shared" si="12"/>
        <v>-1.9593200866863364E-2</v>
      </c>
      <c r="G218" s="7">
        <v>33.052769001801614</v>
      </c>
      <c r="H218" s="7">
        <v>28.970886968328156</v>
      </c>
      <c r="I218" s="3">
        <v>71519.99999999498</v>
      </c>
      <c r="J218" s="6">
        <f t="shared" si="13"/>
        <v>0.18674116817670169</v>
      </c>
    </row>
    <row r="219" spans="1:10" x14ac:dyDescent="0.35">
      <c r="A219" s="2">
        <v>45264</v>
      </c>
      <c r="B219" s="3">
        <v>391670</v>
      </c>
      <c r="C219" s="4">
        <f t="shared" si="14"/>
        <v>4533.2175925925922</v>
      </c>
      <c r="D219" s="4">
        <v>393288</v>
      </c>
      <c r="E219" s="4">
        <f t="shared" si="15"/>
        <v>4551.9444444444443</v>
      </c>
      <c r="F219" s="5">
        <f t="shared" si="12"/>
        <v>-4.1310286720964073E-3</v>
      </c>
      <c r="G219" s="7">
        <v>39.998161717772618</v>
      </c>
      <c r="H219" s="7">
        <v>26.710056935685653</v>
      </c>
      <c r="I219" s="3">
        <v>72720.000000010259</v>
      </c>
      <c r="J219" s="6">
        <f t="shared" si="13"/>
        <v>0.18566650496594136</v>
      </c>
    </row>
    <row r="220" spans="1:10" x14ac:dyDescent="0.35">
      <c r="A220" s="2">
        <v>45265</v>
      </c>
      <c r="B220" s="3">
        <v>388930</v>
      </c>
      <c r="C220" s="4">
        <f t="shared" si="14"/>
        <v>4501.5046296296296</v>
      </c>
      <c r="D220" s="4">
        <v>394142</v>
      </c>
      <c r="E220" s="4">
        <f t="shared" si="15"/>
        <v>4561.8287037037035</v>
      </c>
      <c r="F220" s="5">
        <f t="shared" si="12"/>
        <v>-1.3400869050986039E-2</v>
      </c>
      <c r="G220" s="7">
        <v>40.824868228215877</v>
      </c>
      <c r="H220" s="7">
        <v>26.781785925487878</v>
      </c>
      <c r="I220" s="3">
        <v>71760.000000000218</v>
      </c>
      <c r="J220" s="6">
        <f t="shared" si="13"/>
        <v>0.18450620934358425</v>
      </c>
    </row>
    <row r="221" spans="1:10" x14ac:dyDescent="0.35">
      <c r="A221" s="2">
        <v>45266</v>
      </c>
      <c r="B221" s="3">
        <v>386080</v>
      </c>
      <c r="C221" s="4">
        <f t="shared" si="14"/>
        <v>4468.5185185185182</v>
      </c>
      <c r="D221" s="4">
        <v>394534</v>
      </c>
      <c r="E221" s="4">
        <f t="shared" si="15"/>
        <v>4566.3657407407409</v>
      </c>
      <c r="F221" s="5">
        <f t="shared" si="12"/>
        <v>-2.1897016162453379E-2</v>
      </c>
      <c r="G221" s="7">
        <v>72.396321228760883</v>
      </c>
      <c r="H221" s="7">
        <v>25.835790509738914</v>
      </c>
      <c r="I221" s="3">
        <v>71279.999999995198</v>
      </c>
      <c r="J221" s="6">
        <f t="shared" si="13"/>
        <v>0.18462494819725236</v>
      </c>
    </row>
    <row r="222" spans="1:10" x14ac:dyDescent="0.35">
      <c r="A222" s="2">
        <v>45267</v>
      </c>
      <c r="B222" s="3">
        <v>388400</v>
      </c>
      <c r="C222" s="4">
        <f t="shared" si="14"/>
        <v>4495.3703703703704</v>
      </c>
      <c r="D222" s="4">
        <v>394840</v>
      </c>
      <c r="E222" s="4">
        <f t="shared" si="15"/>
        <v>4569.9074074074069</v>
      </c>
      <c r="F222" s="5">
        <f t="shared" si="12"/>
        <v>-1.6580844490216271E-2</v>
      </c>
      <c r="G222" s="7">
        <v>69.817645726055616</v>
      </c>
      <c r="H222" s="7">
        <v>26.118722966014417</v>
      </c>
      <c r="I222" s="3">
        <v>74279.999999989741</v>
      </c>
      <c r="J222" s="6">
        <f t="shared" si="13"/>
        <v>0.19124613800203333</v>
      </c>
    </row>
    <row r="223" spans="1:10" x14ac:dyDescent="0.35">
      <c r="A223" s="2">
        <v>45268</v>
      </c>
      <c r="B223" s="3">
        <v>392980</v>
      </c>
      <c r="C223" s="4">
        <f t="shared" si="14"/>
        <v>4548.3796296296296</v>
      </c>
      <c r="D223" s="4">
        <v>400496</v>
      </c>
      <c r="E223" s="4">
        <f t="shared" si="15"/>
        <v>4635.3703703703704</v>
      </c>
      <c r="F223" s="5">
        <f t="shared" si="12"/>
        <v>-1.9125655249631026E-2</v>
      </c>
      <c r="G223" s="7">
        <v>58.638562649498709</v>
      </c>
      <c r="H223" s="7">
        <v>25.036434424143721</v>
      </c>
      <c r="I223" s="3">
        <v>74400.000000019645</v>
      </c>
      <c r="J223" s="6">
        <f t="shared" si="13"/>
        <v>0.18932261183780255</v>
      </c>
    </row>
    <row r="224" spans="1:10" x14ac:dyDescent="0.35">
      <c r="A224" s="2">
        <v>45269</v>
      </c>
      <c r="B224" s="3">
        <v>383760</v>
      </c>
      <c r="C224" s="4">
        <f t="shared" si="14"/>
        <v>4441.6666666666661</v>
      </c>
      <c r="D224" s="4">
        <v>392330</v>
      </c>
      <c r="E224" s="4">
        <f t="shared" si="15"/>
        <v>4540.8564814814808</v>
      </c>
      <c r="F224" s="5">
        <f t="shared" si="12"/>
        <v>-2.2331665624348553E-2</v>
      </c>
      <c r="G224" s="7">
        <v>45.665613664790492</v>
      </c>
      <c r="H224" s="7">
        <v>26.90656660412758</v>
      </c>
      <c r="I224" s="3">
        <v>71639.999999986685</v>
      </c>
      <c r="J224" s="6">
        <f t="shared" si="13"/>
        <v>0.18667917448401783</v>
      </c>
    </row>
    <row r="225" spans="1:10" x14ac:dyDescent="0.35">
      <c r="A225" s="2">
        <v>45270</v>
      </c>
      <c r="B225" s="3">
        <v>387100</v>
      </c>
      <c r="C225" s="4">
        <f t="shared" si="14"/>
        <v>4480.3240740740739</v>
      </c>
      <c r="D225" s="4">
        <v>392456</v>
      </c>
      <c r="E225" s="4">
        <f t="shared" si="15"/>
        <v>4542.3148148148148</v>
      </c>
      <c r="F225" s="5">
        <f t="shared" si="12"/>
        <v>-1.3836218031516405E-2</v>
      </c>
      <c r="G225" s="7">
        <v>43.389694652544563</v>
      </c>
      <c r="H225" s="7">
        <v>26.060196331697234</v>
      </c>
      <c r="I225" s="3">
        <v>72239.999999999782</v>
      </c>
      <c r="J225" s="6">
        <f t="shared" si="13"/>
        <v>0.18661844484629239</v>
      </c>
    </row>
    <row r="226" spans="1:10" x14ac:dyDescent="0.35">
      <c r="A226" s="2">
        <v>45271</v>
      </c>
      <c r="B226" s="3">
        <v>385920</v>
      </c>
      <c r="C226" s="4">
        <f t="shared" si="14"/>
        <v>4466.6666666666661</v>
      </c>
      <c r="D226" s="4">
        <v>395330</v>
      </c>
      <c r="E226" s="4">
        <f t="shared" si="15"/>
        <v>4575.5787037037035</v>
      </c>
      <c r="F226" s="5">
        <f t="shared" si="12"/>
        <v>-2.4383291873963514E-2</v>
      </c>
      <c r="G226" s="7">
        <v>42.428223466003317</v>
      </c>
      <c r="H226" s="7">
        <v>27.489412313432837</v>
      </c>
      <c r="I226" s="3">
        <v>72120.000000013533</v>
      </c>
      <c r="J226" s="6">
        <f t="shared" si="13"/>
        <v>0.18687810945277139</v>
      </c>
    </row>
    <row r="227" spans="1:10" x14ac:dyDescent="0.35">
      <c r="A227" s="2">
        <v>45272</v>
      </c>
      <c r="B227" s="3">
        <v>392580</v>
      </c>
      <c r="C227" s="4">
        <f t="shared" si="14"/>
        <v>4543.75</v>
      </c>
      <c r="D227" s="4">
        <v>394796</v>
      </c>
      <c r="E227" s="4">
        <f t="shared" si="15"/>
        <v>4569.3981481481478</v>
      </c>
      <c r="F227" s="5">
        <f t="shared" si="12"/>
        <v>-5.6447093586020685E-3</v>
      </c>
      <c r="G227" s="7">
        <v>41.057104284477049</v>
      </c>
      <c r="H227" s="7">
        <v>27.051902796882164</v>
      </c>
      <c r="I227" s="3">
        <v>72719.999999993888</v>
      </c>
      <c r="J227" s="6">
        <f t="shared" si="13"/>
        <v>0.18523613021548191</v>
      </c>
    </row>
    <row r="228" spans="1:10" x14ac:dyDescent="0.35">
      <c r="A228" s="2">
        <v>45273</v>
      </c>
      <c r="B228" s="3">
        <v>390400</v>
      </c>
      <c r="C228" s="4">
        <f t="shared" si="14"/>
        <v>4518.5185185185182</v>
      </c>
      <c r="D228" s="4">
        <v>394892</v>
      </c>
      <c r="E228" s="4">
        <f t="shared" si="15"/>
        <v>4570.5092592592591</v>
      </c>
      <c r="F228" s="5">
        <f t="shared" si="12"/>
        <v>-1.1506147540983606E-2</v>
      </c>
      <c r="G228" s="7">
        <v>44.561239754098359</v>
      </c>
      <c r="H228" s="7">
        <v>26.535937499999999</v>
      </c>
      <c r="I228" s="3">
        <v>73560.00000000131</v>
      </c>
      <c r="J228" s="6">
        <f t="shared" si="13"/>
        <v>0.18842213114754433</v>
      </c>
    </row>
    <row r="229" spans="1:10" x14ac:dyDescent="0.35">
      <c r="A229" s="2">
        <v>45274</v>
      </c>
      <c r="B229" s="3">
        <v>391690</v>
      </c>
      <c r="C229" s="4">
        <f t="shared" si="14"/>
        <v>4533.4490740740739</v>
      </c>
      <c r="D229" s="4">
        <v>394780</v>
      </c>
      <c r="E229" s="4">
        <f t="shared" si="15"/>
        <v>4569.2129629629626</v>
      </c>
      <c r="F229" s="5">
        <f t="shared" si="12"/>
        <v>-7.8888917255993257E-3</v>
      </c>
      <c r="G229" s="7">
        <v>41.150394444586283</v>
      </c>
      <c r="H229" s="7">
        <v>27.113370267303225</v>
      </c>
      <c r="I229" s="3">
        <v>73319.999999985157</v>
      </c>
      <c r="J229" s="6">
        <f t="shared" si="13"/>
        <v>0.18718884832389174</v>
      </c>
    </row>
    <row r="230" spans="1:10" x14ac:dyDescent="0.35">
      <c r="A230" s="2">
        <v>45275</v>
      </c>
      <c r="B230" s="3">
        <v>392970</v>
      </c>
      <c r="C230" s="4">
        <f t="shared" si="14"/>
        <v>4548.2638888888887</v>
      </c>
      <c r="D230" s="4">
        <v>394226</v>
      </c>
      <c r="E230" s="4">
        <f t="shared" si="15"/>
        <v>4562.8009259259252</v>
      </c>
      <c r="F230" s="5">
        <f t="shared" si="12"/>
        <v>-3.1961727358322516E-3</v>
      </c>
      <c r="G230" s="7">
        <v>45.571193729801259</v>
      </c>
      <c r="H230" s="7">
        <v>27.572471181006183</v>
      </c>
      <c r="I230" s="3">
        <v>73200.00000001528</v>
      </c>
      <c r="J230" s="6">
        <f t="shared" si="13"/>
        <v>0.18627376135586757</v>
      </c>
    </row>
    <row r="231" spans="1:10" x14ac:dyDescent="0.35">
      <c r="A231" s="2">
        <v>45276</v>
      </c>
      <c r="B231" s="3">
        <v>390080</v>
      </c>
      <c r="C231" s="4">
        <f t="shared" si="14"/>
        <v>4514.8148148148148</v>
      </c>
      <c r="D231" s="4">
        <v>392928</v>
      </c>
      <c r="E231" s="4">
        <f t="shared" si="15"/>
        <v>4547.7777777777774</v>
      </c>
      <c r="F231" s="5">
        <f t="shared" si="12"/>
        <v>-7.3010664479081213E-3</v>
      </c>
      <c r="G231" s="7">
        <v>41.320236874487286</v>
      </c>
      <c r="H231" s="7">
        <v>27.225276866283838</v>
      </c>
      <c r="I231" s="3">
        <v>73079.999999990832</v>
      </c>
      <c r="J231" s="6">
        <f t="shared" si="13"/>
        <v>0.18734618539784359</v>
      </c>
    </row>
    <row r="232" spans="1:10" x14ac:dyDescent="0.35">
      <c r="A232" s="2">
        <v>45277</v>
      </c>
      <c r="B232" s="3">
        <v>388750</v>
      </c>
      <c r="C232" s="4">
        <f t="shared" si="14"/>
        <v>4499.4212962962956</v>
      </c>
      <c r="D232" s="4">
        <v>392500</v>
      </c>
      <c r="E232" s="4">
        <f t="shared" si="15"/>
        <v>4542.8240740740739</v>
      </c>
      <c r="F232" s="5">
        <f t="shared" si="12"/>
        <v>-9.6463022508038593E-3</v>
      </c>
      <c r="G232" s="7">
        <v>42.119356913183282</v>
      </c>
      <c r="H232" s="7">
        <v>28.337764630225081</v>
      </c>
      <c r="I232" s="3">
        <v>72840.000000012878</v>
      </c>
      <c r="J232" s="6">
        <f t="shared" si="13"/>
        <v>0.18736977491964726</v>
      </c>
    </row>
    <row r="233" spans="1:10" x14ac:dyDescent="0.35">
      <c r="A233" s="2">
        <v>45278</v>
      </c>
      <c r="B233" s="3">
        <v>392240</v>
      </c>
      <c r="C233" s="4">
        <f t="shared" si="14"/>
        <v>4539.8148148148148</v>
      </c>
      <c r="D233" s="4">
        <v>392783</v>
      </c>
      <c r="E233" s="4">
        <f t="shared" si="15"/>
        <v>4546.0995370370365</v>
      </c>
      <c r="F233" s="5">
        <f t="shared" si="12"/>
        <v>-1.3843565164185193E-3</v>
      </c>
      <c r="G233" s="7">
        <v>48.269332551499083</v>
      </c>
      <c r="H233" s="7">
        <v>28.605195798490719</v>
      </c>
      <c r="I233" s="3">
        <v>72839.999999991051</v>
      </c>
      <c r="J233" s="6">
        <f t="shared" si="13"/>
        <v>0.18570263104219623</v>
      </c>
    </row>
    <row r="234" spans="1:10" x14ac:dyDescent="0.35">
      <c r="A234" s="2">
        <v>45279</v>
      </c>
      <c r="B234" s="3">
        <v>390480</v>
      </c>
      <c r="C234" s="4">
        <f t="shared" si="14"/>
        <v>4519.4444444444443</v>
      </c>
      <c r="D234" s="4">
        <v>392695</v>
      </c>
      <c r="E234" s="4">
        <f t="shared" si="15"/>
        <v>4545.0810185185182</v>
      </c>
      <c r="F234" s="5">
        <f t="shared" si="12"/>
        <v>-5.6725056340913745E-3</v>
      </c>
      <c r="G234" s="7">
        <v>41.283653452161445</v>
      </c>
      <c r="H234" s="7">
        <v>28.357191149354641</v>
      </c>
      <c r="I234" s="3">
        <v>72239.999999999782</v>
      </c>
      <c r="J234" s="6">
        <f t="shared" si="13"/>
        <v>0.18500307314074929</v>
      </c>
    </row>
    <row r="235" spans="1:10" x14ac:dyDescent="0.35">
      <c r="A235" s="2">
        <v>45280</v>
      </c>
      <c r="B235" s="3">
        <v>391650</v>
      </c>
      <c r="C235" s="4">
        <f t="shared" si="14"/>
        <v>4532.9861111111104</v>
      </c>
      <c r="D235" s="4">
        <v>393319</v>
      </c>
      <c r="E235" s="4">
        <f t="shared" si="15"/>
        <v>4552.3032407407409</v>
      </c>
      <c r="F235" s="5">
        <f t="shared" si="12"/>
        <v>-4.2614579343801867E-3</v>
      </c>
      <c r="G235" s="7">
        <v>41.160324269117837</v>
      </c>
      <c r="H235" s="7">
        <v>28.272477977786288</v>
      </c>
      <c r="I235" s="3">
        <v>72479.999999994106</v>
      </c>
      <c r="J235" s="6">
        <f t="shared" si="13"/>
        <v>0.18506319417846062</v>
      </c>
    </row>
    <row r="236" spans="1:10" x14ac:dyDescent="0.35">
      <c r="A236" s="2">
        <v>45281</v>
      </c>
      <c r="B236" s="3">
        <v>388800</v>
      </c>
      <c r="C236" s="4">
        <f t="shared" si="14"/>
        <v>4500</v>
      </c>
      <c r="D236" s="4">
        <v>393291</v>
      </c>
      <c r="E236" s="4">
        <f t="shared" si="15"/>
        <v>4551.9791666666661</v>
      </c>
      <c r="F236" s="5">
        <f t="shared" si="12"/>
        <v>-1.1550925925925926E-2</v>
      </c>
      <c r="G236" s="7">
        <v>42.11394032921811</v>
      </c>
      <c r="H236" s="7">
        <v>27.926435185185184</v>
      </c>
      <c r="I236" s="3">
        <v>73080.000000007203</v>
      </c>
      <c r="J236" s="6">
        <f t="shared" si="13"/>
        <v>0.18796296296298148</v>
      </c>
    </row>
    <row r="237" spans="1:10" x14ac:dyDescent="0.35">
      <c r="A237" s="2">
        <v>45282</v>
      </c>
      <c r="B237" s="3">
        <v>393690</v>
      </c>
      <c r="C237" s="4">
        <f t="shared" si="14"/>
        <v>4556.5972222222217</v>
      </c>
      <c r="D237" s="4">
        <v>392506</v>
      </c>
      <c r="E237" s="4">
        <f t="shared" si="15"/>
        <v>4542.8935185185182</v>
      </c>
      <c r="F237" s="5">
        <f t="shared" si="12"/>
        <v>3.0074424039218677E-3</v>
      </c>
      <c r="G237" s="7">
        <v>41.590845589169142</v>
      </c>
      <c r="H237" s="7">
        <v>27.89590794787777</v>
      </c>
      <c r="I237" s="3">
        <v>73199.999999993452</v>
      </c>
      <c r="J237" s="6">
        <f t="shared" si="13"/>
        <v>0.18593309456677451</v>
      </c>
    </row>
    <row r="238" spans="1:10" x14ac:dyDescent="0.35">
      <c r="A238" s="2">
        <v>45283</v>
      </c>
      <c r="B238" s="3">
        <v>392100</v>
      </c>
      <c r="C238" s="4">
        <f t="shared" si="14"/>
        <v>4538.1944444444443</v>
      </c>
      <c r="D238" s="4">
        <v>390850</v>
      </c>
      <c r="E238" s="4">
        <f t="shared" si="15"/>
        <v>4523.7268518518513</v>
      </c>
      <c r="F238" s="5">
        <f t="shared" si="12"/>
        <v>3.1879622545269064E-3</v>
      </c>
      <c r="G238" s="7">
        <v>41.11308594746238</v>
      </c>
      <c r="H238" s="7">
        <v>28.153404743687833</v>
      </c>
      <c r="I238" s="3">
        <v>70679.999999998472</v>
      </c>
      <c r="J238" s="6">
        <f t="shared" si="13"/>
        <v>0.18026013771996549</v>
      </c>
    </row>
    <row r="239" spans="1:10" x14ac:dyDescent="0.35">
      <c r="A239" s="2">
        <v>45284</v>
      </c>
      <c r="B239" s="3">
        <v>391010</v>
      </c>
      <c r="C239" s="4">
        <f t="shared" si="14"/>
        <v>4525.5787037037035</v>
      </c>
      <c r="D239" s="4">
        <v>387223</v>
      </c>
      <c r="E239" s="4">
        <f t="shared" si="15"/>
        <v>4481.7476851851852</v>
      </c>
      <c r="F239" s="5">
        <f t="shared" si="12"/>
        <v>9.6851742922175899E-3</v>
      </c>
      <c r="G239" s="7">
        <v>41.227694943863327</v>
      </c>
      <c r="H239" s="7">
        <v>28.405621339607684</v>
      </c>
      <c r="I239" s="3">
        <v>74880.000000013752</v>
      </c>
      <c r="J239" s="6">
        <f t="shared" si="13"/>
        <v>0.1915040536048023</v>
      </c>
    </row>
    <row r="240" spans="1:10" x14ac:dyDescent="0.35">
      <c r="A240" s="2">
        <v>45285</v>
      </c>
      <c r="B240" s="3">
        <v>388920</v>
      </c>
      <c r="C240" s="4">
        <f t="shared" si="14"/>
        <v>4501.3888888888887</v>
      </c>
      <c r="D240" s="4">
        <v>387472</v>
      </c>
      <c r="E240" s="4">
        <f t="shared" si="15"/>
        <v>4484.6296296296296</v>
      </c>
      <c r="F240" s="5">
        <f t="shared" si="12"/>
        <v>3.7231307209708939E-3</v>
      </c>
      <c r="G240" s="7">
        <v>42.100946210017483</v>
      </c>
      <c r="H240" s="7">
        <v>28.820271521135453</v>
      </c>
      <c r="I240" s="3">
        <v>70799.999999979264</v>
      </c>
      <c r="J240" s="6">
        <f t="shared" si="13"/>
        <v>0.18204257945073349</v>
      </c>
    </row>
    <row r="241" spans="1:10" x14ac:dyDescent="0.35">
      <c r="A241" s="2">
        <v>45286</v>
      </c>
      <c r="B241" s="3">
        <v>394610</v>
      </c>
      <c r="C241" s="4">
        <f t="shared" si="14"/>
        <v>4567.2453703703704</v>
      </c>
      <c r="D241" s="4">
        <v>390395</v>
      </c>
      <c r="E241" s="4">
        <f t="shared" si="15"/>
        <v>4518.4606481481478</v>
      </c>
      <c r="F241" s="5">
        <f t="shared" si="12"/>
        <v>1.0681432300245812E-2</v>
      </c>
      <c r="G241" s="7">
        <v>50.571376802412509</v>
      </c>
      <c r="H241" s="7">
        <v>29.839284356706621</v>
      </c>
      <c r="I241" s="3">
        <v>72360.000000007858</v>
      </c>
      <c r="J241" s="6">
        <f t="shared" si="13"/>
        <v>0.18337092319000498</v>
      </c>
    </row>
    <row r="242" spans="1:10" x14ac:dyDescent="0.35">
      <c r="A242" s="2">
        <v>45287</v>
      </c>
      <c r="B242" s="3">
        <v>389780</v>
      </c>
      <c r="C242" s="4">
        <f t="shared" si="14"/>
        <v>4511.3425925925922</v>
      </c>
      <c r="D242" s="4">
        <v>391567</v>
      </c>
      <c r="E242" s="4">
        <f t="shared" si="15"/>
        <v>4532.0254629629626</v>
      </c>
      <c r="F242" s="5">
        <f t="shared" si="12"/>
        <v>-4.5846374878136384E-3</v>
      </c>
      <c r="G242" s="7">
        <v>57.107937811072915</v>
      </c>
      <c r="H242" s="7">
        <v>31.370927189696751</v>
      </c>
      <c r="I242" s="3">
        <v>70320.000000012442</v>
      </c>
      <c r="J242" s="6">
        <f t="shared" si="13"/>
        <v>0.18040946174768444</v>
      </c>
    </row>
    <row r="243" spans="1:10" x14ac:dyDescent="0.35">
      <c r="A243" s="2">
        <v>45288</v>
      </c>
      <c r="B243" s="3">
        <v>390930</v>
      </c>
      <c r="C243" s="4">
        <f t="shared" si="14"/>
        <v>4524.6527777777774</v>
      </c>
      <c r="D243" s="4">
        <v>389128</v>
      </c>
      <c r="E243" s="4">
        <f t="shared" si="15"/>
        <v>4503.7962962962956</v>
      </c>
      <c r="F243" s="5">
        <f t="shared" si="12"/>
        <v>4.6095208860921395E-3</v>
      </c>
      <c r="G243" s="7">
        <v>52.361338347018645</v>
      </c>
      <c r="H243" s="7">
        <v>29.830557900391373</v>
      </c>
      <c r="I243" s="3">
        <v>70679.999999987558</v>
      </c>
      <c r="J243" s="6">
        <f t="shared" si="13"/>
        <v>0.18079963164757773</v>
      </c>
    </row>
    <row r="244" spans="1:10" x14ac:dyDescent="0.35">
      <c r="A244" s="2">
        <v>45289</v>
      </c>
      <c r="B244" s="3">
        <v>389760</v>
      </c>
      <c r="C244" s="4">
        <f t="shared" si="14"/>
        <v>4511.1111111111104</v>
      </c>
      <c r="D244" s="4">
        <v>388008</v>
      </c>
      <c r="E244" s="4">
        <f t="shared" si="15"/>
        <v>4490.833333333333</v>
      </c>
      <c r="F244" s="5">
        <f t="shared" si="12"/>
        <v>4.4950738916256158E-3</v>
      </c>
      <c r="G244" s="7">
        <v>45.946510673234812</v>
      </c>
      <c r="H244" s="7">
        <v>29.281034482758621</v>
      </c>
      <c r="I244" s="3">
        <v>70319.999999996071</v>
      </c>
      <c r="J244" s="6">
        <f t="shared" si="13"/>
        <v>0.18041871921181257</v>
      </c>
    </row>
    <row r="245" spans="1:10" x14ac:dyDescent="0.35">
      <c r="A245" s="2">
        <v>45290</v>
      </c>
      <c r="B245" s="3">
        <v>387020</v>
      </c>
      <c r="C245" s="4">
        <f t="shared" si="14"/>
        <v>4479.3981481481478</v>
      </c>
      <c r="D245" s="4">
        <v>384888</v>
      </c>
      <c r="E245" s="4">
        <f t="shared" si="15"/>
        <v>4454.7222222222217</v>
      </c>
      <c r="F245" s="5">
        <f t="shared" si="12"/>
        <v>5.5087592372487209E-3</v>
      </c>
      <c r="G245" s="7">
        <v>43.629021755981604</v>
      </c>
      <c r="H245" s="7">
        <v>29.225047801147227</v>
      </c>
      <c r="I245" s="3">
        <v>69959.999999999127</v>
      </c>
      <c r="J245" s="6">
        <f t="shared" si="13"/>
        <v>0.18076585189395672</v>
      </c>
    </row>
    <row r="246" spans="1:10" x14ac:dyDescent="0.35">
      <c r="A246" s="2">
        <v>45291</v>
      </c>
      <c r="B246" s="3">
        <v>385140</v>
      </c>
      <c r="C246" s="4">
        <f t="shared" si="14"/>
        <v>4457.6388888888887</v>
      </c>
      <c r="D246" s="4">
        <v>383693</v>
      </c>
      <c r="E246" s="4">
        <f t="shared" si="15"/>
        <v>4440.8912037037035</v>
      </c>
      <c r="F246" s="5">
        <f t="shared" si="12"/>
        <v>3.757075349223659E-3</v>
      </c>
      <c r="G246" s="7">
        <v>49.159170691177238</v>
      </c>
      <c r="H246" s="7">
        <v>29.014940021810251</v>
      </c>
      <c r="I246" s="3">
        <v>69720.000000015716</v>
      </c>
      <c r="J246" s="6">
        <f t="shared" si="13"/>
        <v>0.18102508178848137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3E94-004F-49EF-AC3D-16C27AE8BCEC}">
  <dimension ref="A1:Y246"/>
  <sheetViews>
    <sheetView workbookViewId="0">
      <pane xSplit="1" ySplit="1" topLeftCell="L233" activePane="bottomRight" state="frozen"/>
      <selection pane="topRight" activeCell="B1" sqref="B1"/>
      <selection pane="bottomLeft" activeCell="A2" sqref="A2"/>
      <selection pane="bottomRight" sqref="A1:Y1"/>
    </sheetView>
  </sheetViews>
  <sheetFormatPr defaultRowHeight="14.5" x14ac:dyDescent="0.35"/>
  <cols>
    <col min="1" max="1" width="8.81640625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13" width="11.7265625" customWidth="1"/>
    <col min="14" max="14" width="12.1796875" bestFit="1" customWidth="1"/>
    <col min="15" max="20" width="10.90625" customWidth="1"/>
    <col min="21" max="21" width="10.1796875" customWidth="1"/>
    <col min="22" max="22" width="11" customWidth="1"/>
    <col min="23" max="23" width="9.90625" customWidth="1"/>
    <col min="24" max="24" width="10.453125" customWidth="1"/>
    <col min="25" max="25" width="10.36328125" customWidth="1"/>
  </cols>
  <sheetData>
    <row r="1" spans="1:25" ht="58" x14ac:dyDescent="0.35">
      <c r="A1" s="9" t="s">
        <v>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0" t="s">
        <v>36</v>
      </c>
      <c r="H1" s="10" t="s">
        <v>37</v>
      </c>
      <c r="I1" s="10" t="s">
        <v>38</v>
      </c>
      <c r="J1" s="10" t="s">
        <v>39</v>
      </c>
      <c r="K1" s="10" t="s">
        <v>40</v>
      </c>
      <c r="L1" s="10" t="s">
        <v>41</v>
      </c>
      <c r="M1" s="10" t="s">
        <v>42</v>
      </c>
      <c r="N1" s="10" t="s">
        <v>3</v>
      </c>
      <c r="O1" s="10" t="s">
        <v>4</v>
      </c>
      <c r="P1" s="10" t="s">
        <v>5</v>
      </c>
      <c r="Q1" s="10" t="s">
        <v>43</v>
      </c>
      <c r="R1" s="10" t="s">
        <v>44</v>
      </c>
      <c r="S1" s="10" t="s">
        <v>45</v>
      </c>
      <c r="T1" s="10" t="s">
        <v>51</v>
      </c>
      <c r="U1" s="10" t="s">
        <v>47</v>
      </c>
      <c r="V1" s="10" t="s">
        <v>46</v>
      </c>
      <c r="W1" s="10" t="s">
        <v>48</v>
      </c>
      <c r="X1" s="10" t="s">
        <v>49</v>
      </c>
      <c r="Y1" s="10" t="s">
        <v>50</v>
      </c>
    </row>
    <row r="2" spans="1:25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35">
      <c r="A3" s="2">
        <v>45048</v>
      </c>
      <c r="B3" s="3">
        <v>71312</v>
      </c>
      <c r="C3" s="3">
        <v>7200</v>
      </c>
      <c r="D3" s="3">
        <f>SUM(B3:C3)</f>
        <v>78512</v>
      </c>
      <c r="E3" s="4">
        <f>B3/3.6/8</f>
        <v>2476.1111111111109</v>
      </c>
      <c r="F3" s="4">
        <f>C3/3.6/8</f>
        <v>250</v>
      </c>
      <c r="G3" s="4">
        <f>SUM(E3:F3)</f>
        <v>2726.1111111111109</v>
      </c>
      <c r="H3" s="3">
        <v>49052</v>
      </c>
      <c r="I3" s="3">
        <v>17919</v>
      </c>
      <c r="J3" s="4">
        <f t="shared" ref="J3:J66" si="0">SUM(H3:I3)</f>
        <v>66971</v>
      </c>
      <c r="K3" s="4">
        <f>H3/3.6/8</f>
        <v>1703.1944444444443</v>
      </c>
      <c r="L3" s="4">
        <f>I3/3.6/8</f>
        <v>622.1875</v>
      </c>
      <c r="M3" s="4">
        <f t="shared" ref="M3:M66" si="1">SUM(K3:L3)</f>
        <v>2325.3819444444443</v>
      </c>
      <c r="N3" s="5">
        <f t="shared" ref="N3:N66" si="2">(D3-J3)/D3</f>
        <v>0.14699663745669453</v>
      </c>
      <c r="O3" s="1"/>
      <c r="P3" s="1"/>
      <c r="Q3" s="3"/>
      <c r="R3" s="3"/>
      <c r="S3" s="3"/>
      <c r="T3" s="3"/>
      <c r="U3" s="6"/>
      <c r="V3" s="1"/>
      <c r="W3" s="1"/>
      <c r="X3" s="1"/>
      <c r="Y3" s="1"/>
    </row>
    <row r="4" spans="1:25" x14ac:dyDescent="0.35">
      <c r="A4" s="2">
        <v>45049</v>
      </c>
      <c r="B4" s="3">
        <v>213831</v>
      </c>
      <c r="C4" s="3">
        <v>25200</v>
      </c>
      <c r="D4" s="3">
        <f t="shared" ref="D4:D67" si="3">SUM(B4:C4)</f>
        <v>239031</v>
      </c>
      <c r="E4" s="4">
        <f t="shared" ref="E4:F67" si="4">B4/86.4</f>
        <v>2474.895833333333</v>
      </c>
      <c r="F4" s="4">
        <f t="shared" si="4"/>
        <v>291.66666666666663</v>
      </c>
      <c r="G4" s="4">
        <f t="shared" ref="G4:G67" si="5">SUM(E4:F4)</f>
        <v>2766.5624999999995</v>
      </c>
      <c r="H4" s="3">
        <v>160721</v>
      </c>
      <c r="I4" s="3">
        <v>66930.000000000015</v>
      </c>
      <c r="J4" s="4">
        <f t="shared" si="0"/>
        <v>227651</v>
      </c>
      <c r="K4" s="4">
        <f t="shared" ref="K4:K67" si="6">H4/86.4</f>
        <v>1860.1967592592591</v>
      </c>
      <c r="L4" s="4">
        <f t="shared" ref="L4:L67" si="7">I4/86.4</f>
        <v>774.65277777777794</v>
      </c>
      <c r="M4" s="4">
        <f t="shared" si="1"/>
        <v>2634.849537037037</v>
      </c>
      <c r="N4" s="5">
        <f t="shared" si="2"/>
        <v>4.76088875501504E-2</v>
      </c>
      <c r="O4" s="7">
        <v>65.612308588328034</v>
      </c>
      <c r="P4" s="7">
        <v>21.872044884589886</v>
      </c>
      <c r="Q4" s="3">
        <v>30660.000000000764</v>
      </c>
      <c r="R4" s="3">
        <v>9200.0000000011823</v>
      </c>
      <c r="S4" s="3">
        <v>165.99999999999966</v>
      </c>
      <c r="T4" s="3">
        <f>SUM(Q4:S4)</f>
        <v>40026.00000000195</v>
      </c>
      <c r="U4" s="6">
        <f>Q4/$D4</f>
        <v>0.12826788157184951</v>
      </c>
      <c r="V4" s="6">
        <f>R4/$D4</f>
        <v>3.848873158712126E-2</v>
      </c>
      <c r="W4" s="6">
        <f>S4/$D4</f>
        <v>6.9447059168057561E-4</v>
      </c>
      <c r="X4" s="6">
        <f>T4/$D4</f>
        <v>0.16745108375065137</v>
      </c>
      <c r="Y4" s="6">
        <f>T4/B4</f>
        <v>0.18718520700928279</v>
      </c>
    </row>
    <row r="5" spans="1:25" x14ac:dyDescent="0.35">
      <c r="A5" s="2">
        <v>45050</v>
      </c>
      <c r="B5" s="3">
        <v>205073.00000000003</v>
      </c>
      <c r="C5" s="3">
        <v>24753.600000000002</v>
      </c>
      <c r="D5" s="3">
        <f t="shared" si="3"/>
        <v>229826.60000000003</v>
      </c>
      <c r="E5" s="4">
        <f t="shared" si="4"/>
        <v>2373.5300925925926</v>
      </c>
      <c r="F5" s="4">
        <f t="shared" si="4"/>
        <v>286.5</v>
      </c>
      <c r="G5" s="4">
        <f t="shared" si="5"/>
        <v>2660.0300925925926</v>
      </c>
      <c r="H5" s="3">
        <v>161613</v>
      </c>
      <c r="I5" s="3">
        <v>67554.999999999985</v>
      </c>
      <c r="J5" s="4">
        <f t="shared" si="0"/>
        <v>229168</v>
      </c>
      <c r="K5" s="4">
        <f t="shared" si="6"/>
        <v>1870.5208333333333</v>
      </c>
      <c r="L5" s="4">
        <f t="shared" si="7"/>
        <v>781.88657407407391</v>
      </c>
      <c r="M5" s="4">
        <f t="shared" si="1"/>
        <v>2652.4074074074069</v>
      </c>
      <c r="N5" s="5">
        <f t="shared" si="2"/>
        <v>2.8656387032660051E-3</v>
      </c>
      <c r="O5" s="7">
        <v>61.926664023708341</v>
      </c>
      <c r="P5" s="7">
        <v>26.218971060530947</v>
      </c>
      <c r="Q5" s="3">
        <v>24389.999999998963</v>
      </c>
      <c r="R5" s="3">
        <v>7239.9999999997817</v>
      </c>
      <c r="S5" s="3">
        <v>141.59999999999798</v>
      </c>
      <c r="T5" s="3">
        <f t="shared" ref="T5:T68" si="8">SUM(Q5:S5)</f>
        <v>31771.599999998743</v>
      </c>
      <c r="U5" s="6">
        <f t="shared" ref="U5:U68" si="9">Q5/$D5</f>
        <v>0.10612348614128635</v>
      </c>
      <c r="V5" s="6">
        <f t="shared" ref="V5:V68" si="10">R5/$D5</f>
        <v>3.1502010646286292E-2</v>
      </c>
      <c r="W5" s="6">
        <f t="shared" ref="W5:W68" si="11">S5/$D5</f>
        <v>6.1611667230859247E-4</v>
      </c>
      <c r="X5" s="6">
        <f t="shared" ref="X5:X68" si="12">T5/$D5</f>
        <v>0.13824161345988123</v>
      </c>
      <c r="Y5" s="6">
        <f t="shared" ref="Y5:Y68" si="13">T5/B5</f>
        <v>0.15492824506394667</v>
      </c>
    </row>
    <row r="6" spans="1:25" x14ac:dyDescent="0.35">
      <c r="A6" s="2">
        <v>45051</v>
      </c>
      <c r="B6" s="3">
        <v>212558</v>
      </c>
      <c r="C6" s="3">
        <v>30960</v>
      </c>
      <c r="D6" s="3">
        <f t="shared" si="3"/>
        <v>243518</v>
      </c>
      <c r="E6" s="4">
        <f t="shared" si="4"/>
        <v>2460.162037037037</v>
      </c>
      <c r="F6" s="4">
        <f t="shared" si="4"/>
        <v>358.33333333333331</v>
      </c>
      <c r="G6" s="4">
        <f t="shared" si="5"/>
        <v>2818.4953703703704</v>
      </c>
      <c r="H6" s="3">
        <v>159544</v>
      </c>
      <c r="I6" s="3">
        <v>66849</v>
      </c>
      <c r="J6" s="4">
        <f t="shared" si="0"/>
        <v>226393</v>
      </c>
      <c r="K6" s="4">
        <f t="shared" si="6"/>
        <v>1846.5740740740739</v>
      </c>
      <c r="L6" s="4">
        <f t="shared" si="7"/>
        <v>773.71527777777771</v>
      </c>
      <c r="M6" s="4">
        <f t="shared" si="1"/>
        <v>2620.2893518518517</v>
      </c>
      <c r="N6" s="5">
        <f t="shared" si="2"/>
        <v>7.0323343654267859E-2</v>
      </c>
      <c r="O6" s="7">
        <v>54.861661150305061</v>
      </c>
      <c r="P6" s="7">
        <v>23.711676344253814</v>
      </c>
      <c r="Q6" s="3">
        <v>23339.999999999236</v>
      </c>
      <c r="R6" s="3">
        <v>6899.9999999991815</v>
      </c>
      <c r="S6" s="3">
        <v>135.600000000004</v>
      </c>
      <c r="T6" s="3">
        <f t="shared" si="8"/>
        <v>30375.59999999842</v>
      </c>
      <c r="U6" s="6">
        <f t="shared" si="9"/>
        <v>9.5845071000908499E-2</v>
      </c>
      <c r="V6" s="6">
        <f t="shared" si="10"/>
        <v>2.8334661092811134E-2</v>
      </c>
      <c r="W6" s="6">
        <f t="shared" si="11"/>
        <v>5.5683768756315346E-4</v>
      </c>
      <c r="X6" s="6">
        <f t="shared" si="12"/>
        <v>0.12473656978128278</v>
      </c>
      <c r="Y6" s="6">
        <f t="shared" si="13"/>
        <v>0.14290499534244028</v>
      </c>
    </row>
    <row r="7" spans="1:25" x14ac:dyDescent="0.35">
      <c r="A7" s="2">
        <v>45052</v>
      </c>
      <c r="B7" s="3">
        <v>213185</v>
      </c>
      <c r="C7" s="3">
        <v>28814.400000000001</v>
      </c>
      <c r="D7" s="3">
        <f t="shared" si="3"/>
        <v>241999.4</v>
      </c>
      <c r="E7" s="4">
        <f t="shared" si="4"/>
        <v>2467.4189814814813</v>
      </c>
      <c r="F7" s="4">
        <f t="shared" si="4"/>
        <v>333.5</v>
      </c>
      <c r="G7" s="4">
        <f t="shared" si="5"/>
        <v>2800.9189814814813</v>
      </c>
      <c r="H7" s="3">
        <v>160206</v>
      </c>
      <c r="I7" s="3">
        <v>65015.000000000022</v>
      </c>
      <c r="J7" s="4">
        <f t="shared" si="0"/>
        <v>225221.00000000003</v>
      </c>
      <c r="K7" s="4">
        <f t="shared" si="6"/>
        <v>1854.2361111111111</v>
      </c>
      <c r="L7" s="4">
        <f t="shared" si="7"/>
        <v>752.48842592592609</v>
      </c>
      <c r="M7" s="4">
        <f t="shared" si="1"/>
        <v>2606.7245370370374</v>
      </c>
      <c r="N7" s="5">
        <f t="shared" si="2"/>
        <v>6.9332403303479118E-2</v>
      </c>
      <c r="O7" s="7">
        <v>47.915902270832106</v>
      </c>
      <c r="P7" s="7">
        <v>24.258146921025425</v>
      </c>
      <c r="Q7" s="3">
        <v>24780.000000002019</v>
      </c>
      <c r="R7" s="3">
        <v>5560.0000000013097</v>
      </c>
      <c r="S7" s="3">
        <v>153.59999999999616</v>
      </c>
      <c r="T7" s="3">
        <f t="shared" si="8"/>
        <v>30493.600000003324</v>
      </c>
      <c r="U7" s="6">
        <f t="shared" si="9"/>
        <v>0.10239694809161519</v>
      </c>
      <c r="V7" s="6">
        <f t="shared" si="10"/>
        <v>2.2975263575039071E-2</v>
      </c>
      <c r="W7" s="6">
        <f t="shared" si="11"/>
        <v>6.347123174685398E-4</v>
      </c>
      <c r="X7" s="6">
        <f t="shared" si="12"/>
        <v>0.12600692398412278</v>
      </c>
      <c r="Y7" s="6">
        <f t="shared" si="13"/>
        <v>0.14303820625280073</v>
      </c>
    </row>
    <row r="8" spans="1:25" x14ac:dyDescent="0.35">
      <c r="A8" s="2">
        <v>45053</v>
      </c>
      <c r="B8" s="3">
        <v>213110</v>
      </c>
      <c r="C8" s="3">
        <v>27000</v>
      </c>
      <c r="D8" s="3">
        <f t="shared" si="3"/>
        <v>240110</v>
      </c>
      <c r="E8" s="4">
        <f t="shared" si="4"/>
        <v>2466.5509259259256</v>
      </c>
      <c r="F8" s="4">
        <f t="shared" si="4"/>
        <v>312.5</v>
      </c>
      <c r="G8" s="4">
        <f t="shared" si="5"/>
        <v>2779.0509259259256</v>
      </c>
      <c r="H8" s="3">
        <v>158344.00000000003</v>
      </c>
      <c r="I8" s="3">
        <v>64608.000000000007</v>
      </c>
      <c r="J8" s="4">
        <f t="shared" si="0"/>
        <v>222952.00000000003</v>
      </c>
      <c r="K8" s="4">
        <f t="shared" si="6"/>
        <v>1832.6851851851854</v>
      </c>
      <c r="L8" s="4">
        <f t="shared" si="7"/>
        <v>747.77777777777783</v>
      </c>
      <c r="M8" s="4">
        <f t="shared" si="1"/>
        <v>2580.4629629629635</v>
      </c>
      <c r="N8" s="5">
        <f t="shared" si="2"/>
        <v>7.1458914664112166E-2</v>
      </c>
      <c r="O8" s="7">
        <v>49.330488526092083</v>
      </c>
      <c r="P8" s="7">
        <v>23.270196993044856</v>
      </c>
      <c r="Q8" s="3">
        <v>23699.999999998909</v>
      </c>
      <c r="R8" s="3">
        <v>5179.999999998472</v>
      </c>
      <c r="S8" s="3">
        <v>177.99999999999557</v>
      </c>
      <c r="T8" s="3">
        <f t="shared" si="8"/>
        <v>29057.999999997377</v>
      </c>
      <c r="U8" s="6">
        <f t="shared" si="9"/>
        <v>9.8704760318182955E-2</v>
      </c>
      <c r="V8" s="6">
        <f t="shared" si="10"/>
        <v>2.1573445504137572E-2</v>
      </c>
      <c r="W8" s="6">
        <f t="shared" si="11"/>
        <v>7.4132689184122093E-4</v>
      </c>
      <c r="X8" s="6">
        <f t="shared" si="12"/>
        <v>0.12101953271416174</v>
      </c>
      <c r="Y8" s="6">
        <f t="shared" si="13"/>
        <v>0.13635211862417237</v>
      </c>
    </row>
    <row r="9" spans="1:25" x14ac:dyDescent="0.35">
      <c r="A9" s="2">
        <v>45054</v>
      </c>
      <c r="B9" s="3">
        <v>213055</v>
      </c>
      <c r="C9" s="3">
        <v>25200</v>
      </c>
      <c r="D9" s="3">
        <f t="shared" si="3"/>
        <v>238255</v>
      </c>
      <c r="E9" s="4">
        <f t="shared" si="4"/>
        <v>2465.9143518518517</v>
      </c>
      <c r="F9" s="4">
        <f t="shared" si="4"/>
        <v>291.66666666666663</v>
      </c>
      <c r="G9" s="4">
        <f t="shared" si="5"/>
        <v>2757.5810185185182</v>
      </c>
      <c r="H9" s="3">
        <v>161751</v>
      </c>
      <c r="I9" s="3">
        <v>67741</v>
      </c>
      <c r="J9" s="4">
        <f t="shared" si="0"/>
        <v>229492</v>
      </c>
      <c r="K9" s="4">
        <f t="shared" si="6"/>
        <v>1872.1180555555554</v>
      </c>
      <c r="L9" s="4">
        <f t="shared" si="7"/>
        <v>784.03935185185185</v>
      </c>
      <c r="M9" s="4">
        <f t="shared" si="1"/>
        <v>2656.1574074074074</v>
      </c>
      <c r="N9" s="5">
        <f t="shared" si="2"/>
        <v>3.6779920673228265E-2</v>
      </c>
      <c r="O9" s="7">
        <v>63.628061781247375</v>
      </c>
      <c r="P9" s="7">
        <v>23.189524049357843</v>
      </c>
      <c r="Q9" s="3">
        <v>24599.999999999454</v>
      </c>
      <c r="R9" s="3">
        <v>6360.0000000001273</v>
      </c>
      <c r="S9" s="3">
        <v>91.600000000001955</v>
      </c>
      <c r="T9" s="3">
        <f t="shared" si="8"/>
        <v>31051.599999999584</v>
      </c>
      <c r="U9" s="6">
        <f t="shared" si="9"/>
        <v>0.10325071876770457</v>
      </c>
      <c r="V9" s="6">
        <f t="shared" si="10"/>
        <v>2.6694088266773528E-2</v>
      </c>
      <c r="W9" s="6">
        <f t="shared" si="11"/>
        <v>3.8446202598057524E-4</v>
      </c>
      <c r="X9" s="6">
        <f t="shared" si="12"/>
        <v>0.13032926906045869</v>
      </c>
      <c r="Y9" s="6">
        <f t="shared" si="13"/>
        <v>0.14574452606134372</v>
      </c>
    </row>
    <row r="10" spans="1:25" x14ac:dyDescent="0.35">
      <c r="A10" s="2">
        <v>45055</v>
      </c>
      <c r="B10" s="3">
        <v>212652</v>
      </c>
      <c r="C10" s="3">
        <v>32400.000000000004</v>
      </c>
      <c r="D10" s="3">
        <f t="shared" si="3"/>
        <v>245052</v>
      </c>
      <c r="E10" s="4">
        <f t="shared" si="4"/>
        <v>2461.25</v>
      </c>
      <c r="F10" s="4">
        <f t="shared" si="4"/>
        <v>375</v>
      </c>
      <c r="G10" s="4">
        <f t="shared" si="5"/>
        <v>2836.25</v>
      </c>
      <c r="H10" s="3">
        <v>160813.00000000003</v>
      </c>
      <c r="I10" s="3">
        <v>67142.000000000015</v>
      </c>
      <c r="J10" s="4">
        <f t="shared" si="0"/>
        <v>227955.00000000006</v>
      </c>
      <c r="K10" s="4">
        <f t="shared" si="6"/>
        <v>1861.2615740740744</v>
      </c>
      <c r="L10" s="4">
        <f t="shared" si="7"/>
        <v>777.10648148148164</v>
      </c>
      <c r="M10" s="4">
        <f t="shared" si="1"/>
        <v>2638.3680555555561</v>
      </c>
      <c r="N10" s="5">
        <f t="shared" si="2"/>
        <v>6.9768865383673426E-2</v>
      </c>
      <c r="O10" s="7">
        <v>59.12458253758394</v>
      </c>
      <c r="P10" s="7">
        <v>21.715146173057146</v>
      </c>
      <c r="Q10" s="3">
        <v>23279.999999999291</v>
      </c>
      <c r="R10" s="3">
        <v>6900.0000000005457</v>
      </c>
      <c r="S10" s="3">
        <v>145.99999999999909</v>
      </c>
      <c r="T10" s="3">
        <f t="shared" si="8"/>
        <v>30325.999999999836</v>
      </c>
      <c r="U10" s="6">
        <f t="shared" si="9"/>
        <v>9.5000244845988971E-2</v>
      </c>
      <c r="V10" s="6">
        <f t="shared" si="10"/>
        <v>2.8157289065180231E-2</v>
      </c>
      <c r="W10" s="6">
        <f t="shared" si="11"/>
        <v>5.9579191355303804E-4</v>
      </c>
      <c r="X10" s="6">
        <f t="shared" si="12"/>
        <v>0.12375332582472225</v>
      </c>
      <c r="Y10" s="6">
        <f t="shared" si="13"/>
        <v>0.14260858115606642</v>
      </c>
    </row>
    <row r="11" spans="1:25" x14ac:dyDescent="0.35">
      <c r="A11" s="2">
        <v>45056</v>
      </c>
      <c r="B11" s="3">
        <v>212263.00000000003</v>
      </c>
      <c r="C11" s="3">
        <v>33300</v>
      </c>
      <c r="D11" s="3">
        <f t="shared" si="3"/>
        <v>245563.00000000003</v>
      </c>
      <c r="E11" s="4">
        <f t="shared" si="4"/>
        <v>2456.7476851851852</v>
      </c>
      <c r="F11" s="4">
        <f t="shared" si="4"/>
        <v>385.41666666666663</v>
      </c>
      <c r="G11" s="4">
        <f t="shared" si="5"/>
        <v>2842.1643518518517</v>
      </c>
      <c r="H11" s="3">
        <v>161556</v>
      </c>
      <c r="I11" s="3">
        <v>67529.000000000015</v>
      </c>
      <c r="J11" s="4">
        <f t="shared" si="0"/>
        <v>229085</v>
      </c>
      <c r="K11" s="4">
        <f t="shared" si="6"/>
        <v>1869.8611111111111</v>
      </c>
      <c r="L11" s="4">
        <f t="shared" si="7"/>
        <v>781.58564814814827</v>
      </c>
      <c r="M11" s="4">
        <f t="shared" si="1"/>
        <v>2651.4467592592591</v>
      </c>
      <c r="N11" s="5">
        <f t="shared" si="2"/>
        <v>6.7102943032948892E-2</v>
      </c>
      <c r="O11" s="7">
        <v>65.071022914689905</v>
      </c>
      <c r="P11" s="7">
        <v>23.283678730101848</v>
      </c>
      <c r="Q11" s="3">
        <v>25740.000000001146</v>
      </c>
      <c r="R11" s="3">
        <v>7060.0000000004002</v>
      </c>
      <c r="S11" s="3">
        <v>148.00000000000523</v>
      </c>
      <c r="T11" s="3">
        <f t="shared" si="8"/>
        <v>32948.00000000155</v>
      </c>
      <c r="U11" s="6">
        <f t="shared" si="9"/>
        <v>0.10482035160020502</v>
      </c>
      <c r="V11" s="6">
        <f t="shared" si="10"/>
        <v>2.8750259607515788E-2</v>
      </c>
      <c r="W11" s="6">
        <f t="shared" si="11"/>
        <v>6.0269666032751359E-4</v>
      </c>
      <c r="X11" s="6">
        <f t="shared" si="12"/>
        <v>0.13417330786804829</v>
      </c>
      <c r="Y11" s="6">
        <f t="shared" si="13"/>
        <v>0.15522253053995066</v>
      </c>
    </row>
    <row r="12" spans="1:25" x14ac:dyDescent="0.35">
      <c r="A12" s="2">
        <v>45057</v>
      </c>
      <c r="B12" s="3">
        <v>212122</v>
      </c>
      <c r="C12" s="3">
        <v>30960</v>
      </c>
      <c r="D12" s="3">
        <f t="shared" si="3"/>
        <v>243082</v>
      </c>
      <c r="E12" s="4">
        <f t="shared" si="4"/>
        <v>2455.1157407407404</v>
      </c>
      <c r="F12" s="4">
        <f t="shared" si="4"/>
        <v>358.33333333333331</v>
      </c>
      <c r="G12" s="4">
        <f t="shared" si="5"/>
        <v>2813.4490740740739</v>
      </c>
      <c r="H12" s="3">
        <v>161304</v>
      </c>
      <c r="I12" s="3">
        <v>66682.000000000015</v>
      </c>
      <c r="J12" s="4">
        <f t="shared" si="0"/>
        <v>227986</v>
      </c>
      <c r="K12" s="4">
        <f t="shared" si="6"/>
        <v>1866.9444444444443</v>
      </c>
      <c r="L12" s="4">
        <f t="shared" si="7"/>
        <v>771.7824074074075</v>
      </c>
      <c r="M12" s="4">
        <f t="shared" si="1"/>
        <v>2638.7268518518517</v>
      </c>
      <c r="N12" s="5">
        <f t="shared" si="2"/>
        <v>6.2102500390814622E-2</v>
      </c>
      <c r="O12" s="7">
        <v>53.598916908697518</v>
      </c>
      <c r="P12" s="7">
        <v>21.0294591948396</v>
      </c>
      <c r="Q12" s="3">
        <v>24449.999999997544</v>
      </c>
      <c r="R12" s="3">
        <v>6739.9999999988722</v>
      </c>
      <c r="S12" s="3">
        <v>151.19999999999777</v>
      </c>
      <c r="T12" s="3">
        <f t="shared" si="8"/>
        <v>31341.199999996414</v>
      </c>
      <c r="U12" s="6">
        <f t="shared" si="9"/>
        <v>0.10058334224663917</v>
      </c>
      <c r="V12" s="6">
        <f t="shared" si="10"/>
        <v>2.7727268987415243E-2</v>
      </c>
      <c r="W12" s="6">
        <f t="shared" si="11"/>
        <v>6.2201232505902442E-4</v>
      </c>
      <c r="X12" s="6">
        <f t="shared" si="12"/>
        <v>0.12893262355911345</v>
      </c>
      <c r="Y12" s="6">
        <f t="shared" si="13"/>
        <v>0.14775082263978473</v>
      </c>
    </row>
    <row r="13" spans="1:25" x14ac:dyDescent="0.35">
      <c r="A13" s="2">
        <v>45058</v>
      </c>
      <c r="B13" s="3">
        <v>211149</v>
      </c>
      <c r="C13" s="3">
        <v>33840</v>
      </c>
      <c r="D13" s="3">
        <f t="shared" si="3"/>
        <v>244989</v>
      </c>
      <c r="E13" s="4">
        <f t="shared" si="4"/>
        <v>2443.8541666666665</v>
      </c>
      <c r="F13" s="4">
        <f t="shared" si="4"/>
        <v>391.66666666666663</v>
      </c>
      <c r="G13" s="4">
        <f t="shared" si="5"/>
        <v>2835.520833333333</v>
      </c>
      <c r="H13" s="3">
        <v>162098</v>
      </c>
      <c r="I13" s="3">
        <v>67181</v>
      </c>
      <c r="J13" s="4">
        <f t="shared" si="0"/>
        <v>229279</v>
      </c>
      <c r="K13" s="4">
        <f t="shared" si="6"/>
        <v>1876.1342592592591</v>
      </c>
      <c r="L13" s="4">
        <f t="shared" si="7"/>
        <v>777.55787037037032</v>
      </c>
      <c r="M13" s="4">
        <f t="shared" si="1"/>
        <v>2653.6921296296296</v>
      </c>
      <c r="N13" s="5">
        <f t="shared" si="2"/>
        <v>6.4125328075954433E-2</v>
      </c>
      <c r="O13" s="7">
        <v>54.61307428496788</v>
      </c>
      <c r="P13" s="7">
        <v>21.212372800411448</v>
      </c>
      <c r="Q13" s="3">
        <v>24390.000000003056</v>
      </c>
      <c r="R13" s="3">
        <v>6860.0000000001273</v>
      </c>
      <c r="S13" s="3">
        <v>155.19999999999641</v>
      </c>
      <c r="T13" s="3">
        <f t="shared" si="8"/>
        <v>31405.20000000318</v>
      </c>
      <c r="U13" s="6">
        <f t="shared" si="9"/>
        <v>9.9555490246513334E-2</v>
      </c>
      <c r="V13" s="6">
        <f t="shared" si="10"/>
        <v>2.8001257199303346E-2</v>
      </c>
      <c r="W13" s="6">
        <f t="shared" si="11"/>
        <v>6.3349783051482478E-4</v>
      </c>
      <c r="X13" s="6">
        <f t="shared" si="12"/>
        <v>0.12819024527633152</v>
      </c>
      <c r="Y13" s="6">
        <f t="shared" si="13"/>
        <v>0.14873477970534163</v>
      </c>
    </row>
    <row r="14" spans="1:25" x14ac:dyDescent="0.35">
      <c r="A14" s="2">
        <v>45059</v>
      </c>
      <c r="B14" s="3">
        <v>212192</v>
      </c>
      <c r="C14" s="3">
        <v>34200</v>
      </c>
      <c r="D14" s="3">
        <f t="shared" si="3"/>
        <v>246392</v>
      </c>
      <c r="E14" s="4">
        <f t="shared" si="4"/>
        <v>2455.9259259259256</v>
      </c>
      <c r="F14" s="4">
        <f t="shared" si="4"/>
        <v>395.83333333333331</v>
      </c>
      <c r="G14" s="4">
        <f t="shared" si="5"/>
        <v>2851.7592592592591</v>
      </c>
      <c r="H14" s="3">
        <v>161022</v>
      </c>
      <c r="I14" s="3">
        <v>65800</v>
      </c>
      <c r="J14" s="4">
        <f t="shared" si="0"/>
        <v>226822</v>
      </c>
      <c r="K14" s="4">
        <f t="shared" si="6"/>
        <v>1863.6805555555554</v>
      </c>
      <c r="L14" s="4">
        <f t="shared" si="7"/>
        <v>761.57407407407402</v>
      </c>
      <c r="M14" s="4">
        <f t="shared" si="1"/>
        <v>2625.2546296296296</v>
      </c>
      <c r="N14" s="5">
        <f t="shared" si="2"/>
        <v>7.9426280074028383E-2</v>
      </c>
      <c r="O14" s="7">
        <v>59.239080716906386</v>
      </c>
      <c r="P14" s="7">
        <v>23.067485957336277</v>
      </c>
      <c r="Q14" s="3">
        <v>23849.999999999454</v>
      </c>
      <c r="R14" s="3">
        <v>6000.0000000009095</v>
      </c>
      <c r="S14" s="3">
        <v>163.60000000000582</v>
      </c>
      <c r="T14" s="3">
        <f t="shared" si="8"/>
        <v>30013.60000000037</v>
      </c>
      <c r="U14" s="6">
        <f t="shared" si="9"/>
        <v>9.6796973927722713E-2</v>
      </c>
      <c r="V14" s="6">
        <f t="shared" si="10"/>
        <v>2.4351439981821283E-2</v>
      </c>
      <c r="W14" s="6">
        <f t="shared" si="11"/>
        <v>6.6398259683758329E-4</v>
      </c>
      <c r="X14" s="6">
        <f t="shared" si="12"/>
        <v>0.12181239650638158</v>
      </c>
      <c r="Y14" s="6">
        <f t="shared" si="13"/>
        <v>0.14144548333584853</v>
      </c>
    </row>
    <row r="15" spans="1:25" x14ac:dyDescent="0.35">
      <c r="A15" s="2">
        <v>45060</v>
      </c>
      <c r="B15" s="3">
        <v>212447</v>
      </c>
      <c r="C15" s="3">
        <v>32760</v>
      </c>
      <c r="D15" s="3">
        <f t="shared" si="3"/>
        <v>245207</v>
      </c>
      <c r="E15" s="4">
        <f t="shared" si="4"/>
        <v>2458.8773148148148</v>
      </c>
      <c r="F15" s="4">
        <f t="shared" si="4"/>
        <v>379.16666666666663</v>
      </c>
      <c r="G15" s="4">
        <f t="shared" si="5"/>
        <v>2838.0439814814813</v>
      </c>
      <c r="H15" s="3">
        <v>160627.00000000003</v>
      </c>
      <c r="I15" s="3">
        <v>65145.000000000015</v>
      </c>
      <c r="J15" s="4">
        <f t="shared" si="0"/>
        <v>225772.00000000006</v>
      </c>
      <c r="K15" s="4">
        <f t="shared" si="6"/>
        <v>1859.1087962962965</v>
      </c>
      <c r="L15" s="4">
        <f t="shared" si="7"/>
        <v>753.99305555555566</v>
      </c>
      <c r="M15" s="4">
        <f t="shared" si="1"/>
        <v>2613.1018518518522</v>
      </c>
      <c r="N15" s="5">
        <f t="shared" si="2"/>
        <v>7.9259564368064292E-2</v>
      </c>
      <c r="O15" s="7">
        <v>62.296019444795498</v>
      </c>
      <c r="P15" s="7">
        <v>22.140065332555761</v>
      </c>
      <c r="Q15" s="3">
        <v>24000</v>
      </c>
      <c r="R15" s="3">
        <v>5999.9999999995453</v>
      </c>
      <c r="S15" s="3">
        <v>138.39999999999463</v>
      </c>
      <c r="T15" s="3">
        <f t="shared" si="8"/>
        <v>30138.399999999539</v>
      </c>
      <c r="U15" s="6">
        <f t="shared" si="9"/>
        <v>9.7876488028482062E-2</v>
      </c>
      <c r="V15" s="6">
        <f t="shared" si="10"/>
        <v>2.4469122007118659E-2</v>
      </c>
      <c r="W15" s="6">
        <f t="shared" si="11"/>
        <v>5.6442108096422465E-4</v>
      </c>
      <c r="X15" s="6">
        <f t="shared" si="12"/>
        <v>0.12291003111656494</v>
      </c>
      <c r="Y15" s="6">
        <f t="shared" si="13"/>
        <v>0.1418631470437311</v>
      </c>
    </row>
    <row r="16" spans="1:25" x14ac:dyDescent="0.35">
      <c r="A16" s="2">
        <v>45061</v>
      </c>
      <c r="B16" s="3">
        <v>214127</v>
      </c>
      <c r="C16" s="3">
        <v>28980</v>
      </c>
      <c r="D16" s="3">
        <f t="shared" si="3"/>
        <v>243107</v>
      </c>
      <c r="E16" s="4">
        <f t="shared" si="4"/>
        <v>2478.3217592592591</v>
      </c>
      <c r="F16" s="4">
        <f t="shared" si="4"/>
        <v>335.41666666666663</v>
      </c>
      <c r="G16" s="4">
        <f t="shared" si="5"/>
        <v>2813.7384259259256</v>
      </c>
      <c r="H16" s="3">
        <v>161525.99999999994</v>
      </c>
      <c r="I16" s="3">
        <v>67184</v>
      </c>
      <c r="J16" s="4">
        <f t="shared" si="0"/>
        <v>228709.99999999994</v>
      </c>
      <c r="K16" s="4">
        <f t="shared" si="6"/>
        <v>1869.513888888888</v>
      </c>
      <c r="L16" s="4">
        <f t="shared" si="7"/>
        <v>777.5925925925925</v>
      </c>
      <c r="M16" s="4">
        <f t="shared" si="1"/>
        <v>2647.1064814814804</v>
      </c>
      <c r="N16" s="5">
        <f t="shared" si="2"/>
        <v>5.9220836915432541E-2</v>
      </c>
      <c r="O16" s="7">
        <v>56.744950379873949</v>
      </c>
      <c r="P16" s="7">
        <v>22.890180044178077</v>
      </c>
      <c r="Q16" s="3">
        <v>24539.999999999509</v>
      </c>
      <c r="R16" s="3">
        <v>6499.9999999995453</v>
      </c>
      <c r="S16" s="3">
        <v>137.60000000000332</v>
      </c>
      <c r="T16" s="3">
        <f t="shared" si="8"/>
        <v>31177.599999999056</v>
      </c>
      <c r="U16" s="6">
        <f t="shared" si="9"/>
        <v>0.1009432060779801</v>
      </c>
      <c r="V16" s="6">
        <f t="shared" si="10"/>
        <v>2.6737198023913524E-2</v>
      </c>
      <c r="W16" s="6">
        <f t="shared" si="11"/>
        <v>5.6600591509089961E-4</v>
      </c>
      <c r="X16" s="6">
        <f t="shared" si="12"/>
        <v>0.12824641001698453</v>
      </c>
      <c r="Y16" s="6">
        <f t="shared" si="13"/>
        <v>0.14560331018507267</v>
      </c>
    </row>
    <row r="17" spans="1:25" x14ac:dyDescent="0.35">
      <c r="A17" s="2">
        <v>45062</v>
      </c>
      <c r="B17" s="3">
        <v>215518.99999999997</v>
      </c>
      <c r="C17" s="3">
        <v>27540</v>
      </c>
      <c r="D17" s="3">
        <f t="shared" si="3"/>
        <v>243058.99999999997</v>
      </c>
      <c r="E17" s="4">
        <f t="shared" si="4"/>
        <v>2494.43287037037</v>
      </c>
      <c r="F17" s="4">
        <f t="shared" si="4"/>
        <v>318.75</v>
      </c>
      <c r="G17" s="4">
        <f t="shared" si="5"/>
        <v>2813.18287037037</v>
      </c>
      <c r="H17" s="3">
        <v>160523.00000000003</v>
      </c>
      <c r="I17" s="3">
        <v>67266.000000000015</v>
      </c>
      <c r="J17" s="4">
        <f t="shared" si="0"/>
        <v>227789.00000000006</v>
      </c>
      <c r="K17" s="4">
        <f t="shared" si="6"/>
        <v>1857.9050925925928</v>
      </c>
      <c r="L17" s="4">
        <f t="shared" si="7"/>
        <v>778.54166666666674</v>
      </c>
      <c r="M17" s="4">
        <f t="shared" si="1"/>
        <v>2636.4467592592596</v>
      </c>
      <c r="N17" s="5">
        <f t="shared" si="2"/>
        <v>6.2824252547734966E-2</v>
      </c>
      <c r="O17" s="7">
        <v>58.693694485701108</v>
      </c>
      <c r="P17" s="7">
        <v>22.452178277702121</v>
      </c>
      <c r="Q17" s="3">
        <v>24060.00000000131</v>
      </c>
      <c r="R17" s="3">
        <v>6740.0000000002365</v>
      </c>
      <c r="S17" s="3">
        <v>148.79999999999768</v>
      </c>
      <c r="T17" s="3">
        <f t="shared" si="8"/>
        <v>30948.800000001545</v>
      </c>
      <c r="U17" s="6">
        <f t="shared" si="9"/>
        <v>9.8988311479934143E-2</v>
      </c>
      <c r="V17" s="6">
        <f t="shared" si="10"/>
        <v>2.7729892742092404E-2</v>
      </c>
      <c r="W17" s="6">
        <f t="shared" si="11"/>
        <v>6.1219703857910094E-4</v>
      </c>
      <c r="X17" s="6">
        <f t="shared" si="12"/>
        <v>0.12733040126060566</v>
      </c>
      <c r="Y17" s="6">
        <f t="shared" si="13"/>
        <v>0.14360126021372385</v>
      </c>
    </row>
    <row r="18" spans="1:25" x14ac:dyDescent="0.35">
      <c r="A18" s="2">
        <v>45063</v>
      </c>
      <c r="B18" s="3">
        <v>215282</v>
      </c>
      <c r="C18" s="3">
        <v>25380</v>
      </c>
      <c r="D18" s="3">
        <f t="shared" si="3"/>
        <v>240662</v>
      </c>
      <c r="E18" s="4">
        <f t="shared" si="4"/>
        <v>2491.6898148148148</v>
      </c>
      <c r="F18" s="4">
        <f t="shared" si="4"/>
        <v>293.75</v>
      </c>
      <c r="G18" s="4">
        <f t="shared" si="5"/>
        <v>2785.4398148148148</v>
      </c>
      <c r="H18" s="3">
        <v>161724.00000000006</v>
      </c>
      <c r="I18" s="3">
        <v>67065.000000000015</v>
      </c>
      <c r="J18" s="4">
        <f t="shared" si="0"/>
        <v>228789.00000000006</v>
      </c>
      <c r="K18" s="4">
        <f t="shared" si="6"/>
        <v>1871.8055555555561</v>
      </c>
      <c r="L18" s="4">
        <f t="shared" si="7"/>
        <v>776.21527777777794</v>
      </c>
      <c r="M18" s="4">
        <f t="shared" si="1"/>
        <v>2648.0208333333339</v>
      </c>
      <c r="N18" s="5">
        <f t="shared" si="2"/>
        <v>4.9334751643383426E-2</v>
      </c>
      <c r="O18" s="7">
        <v>55.587179795730066</v>
      </c>
      <c r="P18" s="7">
        <v>22.91102874570975</v>
      </c>
      <c r="Q18" s="3">
        <v>24090.0000000006</v>
      </c>
      <c r="R18" s="3">
        <v>7520.0000000008913</v>
      </c>
      <c r="S18" s="3">
        <v>155.19999999999982</v>
      </c>
      <c r="T18" s="3">
        <f t="shared" si="8"/>
        <v>31765.200000001492</v>
      </c>
      <c r="U18" s="6">
        <f t="shared" si="9"/>
        <v>0.10009889388437145</v>
      </c>
      <c r="V18" s="6">
        <f t="shared" si="10"/>
        <v>3.1247143296411112E-2</v>
      </c>
      <c r="W18" s="6">
        <f t="shared" si="11"/>
        <v>6.4488785101096072E-4</v>
      </c>
      <c r="X18" s="6">
        <f t="shared" si="12"/>
        <v>0.13199092503179352</v>
      </c>
      <c r="Y18" s="6">
        <f t="shared" si="13"/>
        <v>0.14755158350443368</v>
      </c>
    </row>
    <row r="19" spans="1:25" x14ac:dyDescent="0.35">
      <c r="A19" s="2">
        <v>45064</v>
      </c>
      <c r="B19" s="3">
        <v>214424</v>
      </c>
      <c r="C19" s="3">
        <v>25380</v>
      </c>
      <c r="D19" s="3">
        <f t="shared" si="3"/>
        <v>239804</v>
      </c>
      <c r="E19" s="4">
        <f t="shared" si="4"/>
        <v>2481.7592592592591</v>
      </c>
      <c r="F19" s="4">
        <f t="shared" si="4"/>
        <v>293.75</v>
      </c>
      <c r="G19" s="4">
        <f t="shared" si="5"/>
        <v>2775.5092592592591</v>
      </c>
      <c r="H19" s="3">
        <v>159932</v>
      </c>
      <c r="I19" s="3">
        <v>64403.000000000036</v>
      </c>
      <c r="J19" s="4">
        <f t="shared" si="0"/>
        <v>224335.00000000003</v>
      </c>
      <c r="K19" s="4">
        <f t="shared" si="6"/>
        <v>1851.0648148148148</v>
      </c>
      <c r="L19" s="4">
        <f t="shared" si="7"/>
        <v>745.40509259259295</v>
      </c>
      <c r="M19" s="4">
        <f t="shared" si="1"/>
        <v>2596.4699074074078</v>
      </c>
      <c r="N19" s="5">
        <f t="shared" si="2"/>
        <v>6.4506847258594402E-2</v>
      </c>
      <c r="O19" s="7">
        <v>51.534709095761407</v>
      </c>
      <c r="P19" s="7">
        <v>21.269707761338427</v>
      </c>
      <c r="Q19" s="3">
        <v>22019.999999997708</v>
      </c>
      <c r="R19" s="3">
        <v>4380.0000000001091</v>
      </c>
      <c r="S19" s="3">
        <v>184.00000000000432</v>
      </c>
      <c r="T19" s="3">
        <f t="shared" si="8"/>
        <v>26583.999999997821</v>
      </c>
      <c r="U19" s="6">
        <f t="shared" si="9"/>
        <v>9.1824990408824317E-2</v>
      </c>
      <c r="V19" s="6">
        <f t="shared" si="10"/>
        <v>1.8264916348351607E-2</v>
      </c>
      <c r="W19" s="6">
        <f t="shared" si="11"/>
        <v>7.6729328951979253E-4</v>
      </c>
      <c r="X19" s="6">
        <f t="shared" si="12"/>
        <v>0.11085720004669572</v>
      </c>
      <c r="Y19" s="6">
        <f t="shared" si="13"/>
        <v>0.12397865910531387</v>
      </c>
    </row>
    <row r="20" spans="1:25" x14ac:dyDescent="0.35">
      <c r="A20" s="2">
        <v>45065</v>
      </c>
      <c r="B20" s="3">
        <v>213659.00000000003</v>
      </c>
      <c r="C20" s="3">
        <v>33120</v>
      </c>
      <c r="D20" s="3">
        <f t="shared" si="3"/>
        <v>246779.00000000003</v>
      </c>
      <c r="E20" s="4">
        <f t="shared" si="4"/>
        <v>2472.9050925925926</v>
      </c>
      <c r="F20" s="4">
        <f t="shared" si="4"/>
        <v>383.33333333333331</v>
      </c>
      <c r="G20" s="4">
        <f t="shared" si="5"/>
        <v>2856.2384259259261</v>
      </c>
      <c r="H20" s="3">
        <v>161400.99999999997</v>
      </c>
      <c r="I20" s="3">
        <v>67064</v>
      </c>
      <c r="J20" s="4">
        <f t="shared" si="0"/>
        <v>228464.99999999997</v>
      </c>
      <c r="K20" s="4">
        <f t="shared" si="6"/>
        <v>1868.0671296296291</v>
      </c>
      <c r="L20" s="4">
        <f t="shared" si="7"/>
        <v>776.2037037037037</v>
      </c>
      <c r="M20" s="4">
        <f t="shared" si="1"/>
        <v>2644.270833333333</v>
      </c>
      <c r="N20" s="5">
        <f t="shared" si="2"/>
        <v>7.4212149331993632E-2</v>
      </c>
      <c r="O20" s="7">
        <v>52.025484421283892</v>
      </c>
      <c r="P20" s="7">
        <v>21.631998670875561</v>
      </c>
      <c r="Q20" s="3">
        <v>24390.000000001692</v>
      </c>
      <c r="R20" s="3">
        <v>9859.9999999992178</v>
      </c>
      <c r="S20" s="3">
        <v>140.79999999999472</v>
      </c>
      <c r="T20" s="3">
        <f t="shared" si="8"/>
        <v>34390.800000000905</v>
      </c>
      <c r="U20" s="6">
        <f t="shared" si="9"/>
        <v>9.8833369127849971E-2</v>
      </c>
      <c r="V20" s="6">
        <f t="shared" si="10"/>
        <v>3.9954777351392204E-2</v>
      </c>
      <c r="W20" s="6">
        <f t="shared" si="11"/>
        <v>5.705509788109795E-4</v>
      </c>
      <c r="X20" s="6">
        <f t="shared" si="12"/>
        <v>0.13935869745805315</v>
      </c>
      <c r="Y20" s="6">
        <f t="shared" si="13"/>
        <v>0.16096115773265296</v>
      </c>
    </row>
    <row r="21" spans="1:25" x14ac:dyDescent="0.35">
      <c r="A21" s="2">
        <v>45066</v>
      </c>
      <c r="B21" s="3">
        <v>213891.00000000003</v>
      </c>
      <c r="C21" s="3">
        <v>25740</v>
      </c>
      <c r="D21" s="3">
        <f t="shared" si="3"/>
        <v>239631.00000000003</v>
      </c>
      <c r="E21" s="4">
        <f t="shared" si="4"/>
        <v>2475.5902777777778</v>
      </c>
      <c r="F21" s="4">
        <f t="shared" si="4"/>
        <v>297.91666666666663</v>
      </c>
      <c r="G21" s="4">
        <f t="shared" si="5"/>
        <v>2773.5069444444443</v>
      </c>
      <c r="H21" s="3">
        <v>160110.00000000006</v>
      </c>
      <c r="I21" s="3">
        <v>64726.000000000007</v>
      </c>
      <c r="J21" s="4">
        <f t="shared" si="0"/>
        <v>224836.00000000006</v>
      </c>
      <c r="K21" s="4">
        <f t="shared" si="6"/>
        <v>1853.1250000000005</v>
      </c>
      <c r="L21" s="4">
        <f t="shared" si="7"/>
        <v>749.14351851851859</v>
      </c>
      <c r="M21" s="4">
        <f t="shared" si="1"/>
        <v>2602.2685185185192</v>
      </c>
      <c r="N21" s="5">
        <f t="shared" si="2"/>
        <v>6.174075975145106E-2</v>
      </c>
      <c r="O21" s="7">
        <v>52.410433207723443</v>
      </c>
      <c r="P21" s="7">
        <v>21.922906468695619</v>
      </c>
      <c r="Q21" s="3">
        <v>24330.000000000382</v>
      </c>
      <c r="R21" s="3">
        <v>6820.0000000001637</v>
      </c>
      <c r="S21" s="3">
        <v>148.0000000000075</v>
      </c>
      <c r="T21" s="3">
        <f t="shared" si="8"/>
        <v>31298.000000000553</v>
      </c>
      <c r="U21" s="6">
        <f t="shared" si="9"/>
        <v>0.10153110407251306</v>
      </c>
      <c r="V21" s="6">
        <f t="shared" si="10"/>
        <v>2.8460424569442862E-2</v>
      </c>
      <c r="W21" s="6">
        <f t="shared" si="11"/>
        <v>6.1761625165361524E-4</v>
      </c>
      <c r="X21" s="6">
        <f t="shared" si="12"/>
        <v>0.13060914489360956</v>
      </c>
      <c r="Y21" s="6">
        <f t="shared" si="13"/>
        <v>0.14632686742312931</v>
      </c>
    </row>
    <row r="22" spans="1:25" x14ac:dyDescent="0.35">
      <c r="A22" s="2">
        <v>45067</v>
      </c>
      <c r="B22" s="3">
        <v>213073.00000000003</v>
      </c>
      <c r="C22" s="3">
        <v>21060</v>
      </c>
      <c r="D22" s="3">
        <f t="shared" si="3"/>
        <v>234133.00000000003</v>
      </c>
      <c r="E22" s="4">
        <f t="shared" si="4"/>
        <v>2466.1226851851852</v>
      </c>
      <c r="F22" s="4">
        <f t="shared" si="4"/>
        <v>243.74999999999997</v>
      </c>
      <c r="G22" s="4">
        <f t="shared" si="5"/>
        <v>2709.8726851851852</v>
      </c>
      <c r="H22" s="3">
        <v>159925.00000000006</v>
      </c>
      <c r="I22" s="3">
        <v>64515.000000000015</v>
      </c>
      <c r="J22" s="4">
        <f t="shared" si="0"/>
        <v>224440.00000000006</v>
      </c>
      <c r="K22" s="4">
        <f t="shared" si="6"/>
        <v>1850.9837962962968</v>
      </c>
      <c r="L22" s="4">
        <f t="shared" si="7"/>
        <v>746.70138888888903</v>
      </c>
      <c r="M22" s="4">
        <f t="shared" si="1"/>
        <v>2597.6851851851857</v>
      </c>
      <c r="N22" s="5">
        <f t="shared" si="2"/>
        <v>4.1399546411654782E-2</v>
      </c>
      <c r="O22" s="7">
        <v>48.986708153058373</v>
      </c>
      <c r="P22" s="7">
        <v>22.582779872978179</v>
      </c>
      <c r="Q22" s="3">
        <v>23219.999999997981</v>
      </c>
      <c r="R22" s="3">
        <v>6079.9999999994725</v>
      </c>
      <c r="S22" s="3">
        <v>140.79999999999927</v>
      </c>
      <c r="T22" s="3">
        <f t="shared" si="8"/>
        <v>29440.799999997453</v>
      </c>
      <c r="U22" s="6">
        <f t="shared" si="9"/>
        <v>9.9174400874707871E-2</v>
      </c>
      <c r="V22" s="6">
        <f t="shared" si="10"/>
        <v>2.5968146310001033E-2</v>
      </c>
      <c r="W22" s="6">
        <f t="shared" si="11"/>
        <v>6.0136759875796769E-4</v>
      </c>
      <c r="X22" s="6">
        <f t="shared" si="12"/>
        <v>0.12574391478346686</v>
      </c>
      <c r="Y22" s="6">
        <f t="shared" si="13"/>
        <v>0.1381723634622756</v>
      </c>
    </row>
    <row r="23" spans="1:25" x14ac:dyDescent="0.35">
      <c r="A23" s="2">
        <v>45068</v>
      </c>
      <c r="B23" s="3">
        <v>212710</v>
      </c>
      <c r="C23" s="3">
        <v>36360</v>
      </c>
      <c r="D23" s="3">
        <f t="shared" si="3"/>
        <v>249070</v>
      </c>
      <c r="E23" s="4">
        <f t="shared" si="4"/>
        <v>2461.9212962962961</v>
      </c>
      <c r="F23" s="4">
        <f t="shared" si="4"/>
        <v>420.83333333333331</v>
      </c>
      <c r="G23" s="4">
        <f t="shared" si="5"/>
        <v>2882.7546296296296</v>
      </c>
      <c r="H23" s="3">
        <v>161242</v>
      </c>
      <c r="I23" s="3">
        <v>66972.000000000029</v>
      </c>
      <c r="J23" s="4">
        <f t="shared" si="0"/>
        <v>228214.00000000003</v>
      </c>
      <c r="K23" s="4">
        <f t="shared" si="6"/>
        <v>1866.2268518518517</v>
      </c>
      <c r="L23" s="4">
        <f t="shared" si="7"/>
        <v>775.13888888888914</v>
      </c>
      <c r="M23" s="4">
        <f t="shared" si="1"/>
        <v>2641.3657407407409</v>
      </c>
      <c r="N23" s="5">
        <f t="shared" si="2"/>
        <v>8.3735496045288363E-2</v>
      </c>
      <c r="O23" s="7">
        <v>53.565258521700741</v>
      </c>
      <c r="P23" s="7">
        <v>21.137551692295339</v>
      </c>
      <c r="Q23" s="3">
        <v>24419.999999999618</v>
      </c>
      <c r="R23" s="3">
        <v>8620.0000000012551</v>
      </c>
      <c r="S23" s="3">
        <v>166.39999999999191</v>
      </c>
      <c r="T23" s="3">
        <f t="shared" si="8"/>
        <v>33206.400000000867</v>
      </c>
      <c r="U23" s="6">
        <f t="shared" si="9"/>
        <v>9.8044726382140027E-2</v>
      </c>
      <c r="V23" s="6">
        <f t="shared" si="10"/>
        <v>3.4608744529655337E-2</v>
      </c>
      <c r="W23" s="6">
        <f t="shared" si="11"/>
        <v>6.680852772312679E-4</v>
      </c>
      <c r="X23" s="6">
        <f t="shared" si="12"/>
        <v>0.13332155618902664</v>
      </c>
      <c r="Y23" s="6">
        <f t="shared" si="13"/>
        <v>0.15611113722909534</v>
      </c>
    </row>
    <row r="24" spans="1:25" x14ac:dyDescent="0.35">
      <c r="A24" s="2">
        <v>45069</v>
      </c>
      <c r="B24" s="3">
        <v>212355</v>
      </c>
      <c r="C24" s="3">
        <v>29700.000000000004</v>
      </c>
      <c r="D24" s="3">
        <f t="shared" si="3"/>
        <v>242055</v>
      </c>
      <c r="E24" s="4">
        <f t="shared" si="4"/>
        <v>2457.8125</v>
      </c>
      <c r="F24" s="4">
        <f t="shared" si="4"/>
        <v>343.75</v>
      </c>
      <c r="G24" s="4">
        <f t="shared" si="5"/>
        <v>2801.5625</v>
      </c>
      <c r="H24" s="3">
        <v>162513</v>
      </c>
      <c r="I24" s="3">
        <v>67022</v>
      </c>
      <c r="J24" s="4">
        <f t="shared" si="0"/>
        <v>229535</v>
      </c>
      <c r="K24" s="4">
        <f t="shared" si="6"/>
        <v>1880.9374999999998</v>
      </c>
      <c r="L24" s="4">
        <f t="shared" si="7"/>
        <v>775.7175925925925</v>
      </c>
      <c r="M24" s="4">
        <f t="shared" si="1"/>
        <v>2656.6550925925922</v>
      </c>
      <c r="N24" s="5">
        <f t="shared" si="2"/>
        <v>5.1723781785131477E-2</v>
      </c>
      <c r="O24" s="7">
        <v>47.300917807936258</v>
      </c>
      <c r="P24" s="7">
        <v>21.469492470719466</v>
      </c>
      <c r="Q24" s="3">
        <v>24120.000000001255</v>
      </c>
      <c r="R24" s="3">
        <v>8299.9999999992724</v>
      </c>
      <c r="S24" s="3">
        <v>164.80000000000246</v>
      </c>
      <c r="T24" s="3">
        <f t="shared" si="8"/>
        <v>32584.80000000053</v>
      </c>
      <c r="U24" s="6">
        <f t="shared" si="9"/>
        <v>9.9646774493405449E-2</v>
      </c>
      <c r="V24" s="6">
        <f t="shared" si="10"/>
        <v>3.428972754125828E-2</v>
      </c>
      <c r="W24" s="6">
        <f t="shared" si="11"/>
        <v>6.8083699985541492E-4</v>
      </c>
      <c r="X24" s="6">
        <f t="shared" si="12"/>
        <v>0.13461733903451914</v>
      </c>
      <c r="Y24" s="6">
        <f t="shared" si="13"/>
        <v>0.15344493889948685</v>
      </c>
    </row>
    <row r="25" spans="1:25" x14ac:dyDescent="0.35">
      <c r="A25" s="2">
        <v>45070</v>
      </c>
      <c r="B25" s="3">
        <v>216293</v>
      </c>
      <c r="C25" s="3">
        <v>26280</v>
      </c>
      <c r="D25" s="3">
        <f t="shared" si="3"/>
        <v>242573</v>
      </c>
      <c r="E25" s="4">
        <f t="shared" si="4"/>
        <v>2503.3912037037035</v>
      </c>
      <c r="F25" s="4">
        <f t="shared" si="4"/>
        <v>304.16666666666663</v>
      </c>
      <c r="G25" s="4">
        <f t="shared" si="5"/>
        <v>2807.55787037037</v>
      </c>
      <c r="H25" s="3">
        <v>159939</v>
      </c>
      <c r="I25" s="3">
        <v>66347.999999999985</v>
      </c>
      <c r="J25" s="4">
        <f t="shared" si="0"/>
        <v>226287</v>
      </c>
      <c r="K25" s="4">
        <f t="shared" si="6"/>
        <v>1851.1458333333333</v>
      </c>
      <c r="L25" s="4">
        <f t="shared" si="7"/>
        <v>767.9166666666664</v>
      </c>
      <c r="M25" s="4">
        <f t="shared" si="1"/>
        <v>2619.0624999999995</v>
      </c>
      <c r="N25" s="5">
        <f t="shared" si="2"/>
        <v>6.7138552105963978E-2</v>
      </c>
      <c r="O25" s="7">
        <v>51.403702802867656</v>
      </c>
      <c r="P25" s="7">
        <v>20.35012965169248</v>
      </c>
      <c r="Q25" s="3">
        <v>23729.999999998199</v>
      </c>
      <c r="R25" s="3">
        <v>6839.9999999996908</v>
      </c>
      <c r="S25" s="3">
        <v>147.60000000000559</v>
      </c>
      <c r="T25" s="3">
        <f t="shared" si="8"/>
        <v>30717.599999997896</v>
      </c>
      <c r="U25" s="6">
        <f t="shared" si="9"/>
        <v>9.7826221384895259E-2</v>
      </c>
      <c r="V25" s="6">
        <f t="shared" si="10"/>
        <v>2.8197697188061699E-2</v>
      </c>
      <c r="W25" s="6">
        <f t="shared" si="11"/>
        <v>6.0847662353190834E-4</v>
      </c>
      <c r="X25" s="6">
        <f t="shared" si="12"/>
        <v>0.12663239519648886</v>
      </c>
      <c r="Y25" s="6">
        <f t="shared" si="13"/>
        <v>0.14201846569236126</v>
      </c>
    </row>
    <row r="26" spans="1:25" x14ac:dyDescent="0.35">
      <c r="A26" s="2">
        <v>45071</v>
      </c>
      <c r="B26" s="3">
        <v>216257</v>
      </c>
      <c r="C26" s="3">
        <v>29520</v>
      </c>
      <c r="D26" s="3">
        <f t="shared" si="3"/>
        <v>245777</v>
      </c>
      <c r="E26" s="4">
        <f t="shared" si="4"/>
        <v>2502.974537037037</v>
      </c>
      <c r="F26" s="4">
        <f t="shared" si="4"/>
        <v>341.66666666666663</v>
      </c>
      <c r="G26" s="4">
        <f t="shared" si="5"/>
        <v>2844.6412037037035</v>
      </c>
      <c r="H26" s="3">
        <v>161646.00000000003</v>
      </c>
      <c r="I26" s="3">
        <v>66922</v>
      </c>
      <c r="J26" s="4">
        <f t="shared" si="0"/>
        <v>228568.00000000003</v>
      </c>
      <c r="K26" s="4">
        <f t="shared" si="6"/>
        <v>1870.9027777777781</v>
      </c>
      <c r="L26" s="4">
        <f t="shared" si="7"/>
        <v>774.56018518518511</v>
      </c>
      <c r="M26" s="4">
        <f t="shared" si="1"/>
        <v>2645.462962962963</v>
      </c>
      <c r="N26" s="5">
        <f t="shared" si="2"/>
        <v>7.0018756840550464E-2</v>
      </c>
      <c r="O26" s="7">
        <v>50.011851556492296</v>
      </c>
      <c r="P26" s="7">
        <v>22.019619411092169</v>
      </c>
      <c r="Q26" s="3">
        <v>24000.000000002728</v>
      </c>
      <c r="R26" s="3">
        <v>7159.9999999998545</v>
      </c>
      <c r="S26" s="3">
        <v>138.39999999999577</v>
      </c>
      <c r="T26" s="3">
        <f t="shared" si="8"/>
        <v>31298.400000002577</v>
      </c>
      <c r="U26" s="6">
        <f t="shared" si="9"/>
        <v>9.7649495274182402E-2</v>
      </c>
      <c r="V26" s="6">
        <f t="shared" si="10"/>
        <v>2.9132099423460511E-2</v>
      </c>
      <c r="W26" s="6">
        <f t="shared" si="11"/>
        <v>5.631120894143706E-4</v>
      </c>
      <c r="X26" s="6">
        <f t="shared" si="12"/>
        <v>0.12734470678705728</v>
      </c>
      <c r="Y26" s="6">
        <f t="shared" si="13"/>
        <v>0.14472780071860136</v>
      </c>
    </row>
    <row r="27" spans="1:25" x14ac:dyDescent="0.35">
      <c r="A27" s="2">
        <v>45072</v>
      </c>
      <c r="B27" s="3">
        <v>216116.00000000003</v>
      </c>
      <c r="C27" s="3">
        <v>31500</v>
      </c>
      <c r="D27" s="3">
        <f t="shared" si="3"/>
        <v>247616.00000000003</v>
      </c>
      <c r="E27" s="4">
        <f t="shared" si="4"/>
        <v>2501.3425925925926</v>
      </c>
      <c r="F27" s="4">
        <f t="shared" si="4"/>
        <v>364.58333333333331</v>
      </c>
      <c r="G27" s="4">
        <f t="shared" si="5"/>
        <v>2865.9259259259261</v>
      </c>
      <c r="H27" s="3">
        <v>161940</v>
      </c>
      <c r="I27" s="3">
        <v>66659</v>
      </c>
      <c r="J27" s="4">
        <f t="shared" si="0"/>
        <v>228599</v>
      </c>
      <c r="K27" s="4">
        <f t="shared" si="6"/>
        <v>1874.3055555555554</v>
      </c>
      <c r="L27" s="4">
        <f t="shared" si="7"/>
        <v>771.5162037037037</v>
      </c>
      <c r="M27" s="4">
        <f t="shared" si="1"/>
        <v>2645.8217592592591</v>
      </c>
      <c r="N27" s="5">
        <f t="shared" si="2"/>
        <v>7.6800368312225489E-2</v>
      </c>
      <c r="O27" s="7">
        <v>50.073470195786939</v>
      </c>
      <c r="P27" s="7">
        <v>21.764635564745412</v>
      </c>
      <c r="Q27" s="3">
        <v>22950.000000000273</v>
      </c>
      <c r="R27" s="3">
        <v>7539.9999999999636</v>
      </c>
      <c r="S27" s="3">
        <v>140.00000000000568</v>
      </c>
      <c r="T27" s="3">
        <f t="shared" si="8"/>
        <v>30630.000000000244</v>
      </c>
      <c r="U27" s="6">
        <f t="shared" si="9"/>
        <v>9.2683833031792257E-2</v>
      </c>
      <c r="V27" s="6">
        <f t="shared" si="10"/>
        <v>3.0450374773843221E-2</v>
      </c>
      <c r="W27" s="6">
        <f t="shared" si="11"/>
        <v>5.6539157405016509E-4</v>
      </c>
      <c r="X27" s="6">
        <f t="shared" si="12"/>
        <v>0.12369959937968564</v>
      </c>
      <c r="Y27" s="6">
        <f t="shared" si="13"/>
        <v>0.14172944159618095</v>
      </c>
    </row>
    <row r="28" spans="1:25" x14ac:dyDescent="0.35">
      <c r="A28" s="2">
        <v>45073</v>
      </c>
      <c r="B28" s="3">
        <v>216727</v>
      </c>
      <c r="C28" s="3">
        <v>25740</v>
      </c>
      <c r="D28" s="3">
        <f t="shared" si="3"/>
        <v>242467</v>
      </c>
      <c r="E28" s="4">
        <f t="shared" si="4"/>
        <v>2508.4143518518517</v>
      </c>
      <c r="F28" s="4">
        <f t="shared" si="4"/>
        <v>297.91666666666663</v>
      </c>
      <c r="G28" s="4">
        <f t="shared" si="5"/>
        <v>2806.3310185185182</v>
      </c>
      <c r="H28" s="3">
        <v>161125.00000000006</v>
      </c>
      <c r="I28" s="3">
        <v>64797.000000000007</v>
      </c>
      <c r="J28" s="4">
        <f t="shared" si="0"/>
        <v>225922.00000000006</v>
      </c>
      <c r="K28" s="4">
        <f t="shared" si="6"/>
        <v>1864.8726851851857</v>
      </c>
      <c r="L28" s="4">
        <f t="shared" si="7"/>
        <v>749.96527777777783</v>
      </c>
      <c r="M28" s="4">
        <f t="shared" si="1"/>
        <v>2614.8379629629635</v>
      </c>
      <c r="N28" s="5">
        <f t="shared" si="2"/>
        <v>6.8236089859650767E-2</v>
      </c>
      <c r="O28" s="7">
        <v>52.874123323998667</v>
      </c>
      <c r="P28" s="7">
        <v>21.713181587597486</v>
      </c>
      <c r="Q28" s="3">
        <v>23729.999999998199</v>
      </c>
      <c r="R28" s="3">
        <v>5960.0000000000364</v>
      </c>
      <c r="S28" s="3">
        <v>152.39999999999668</v>
      </c>
      <c r="T28" s="3">
        <f t="shared" si="8"/>
        <v>29842.399999998233</v>
      </c>
      <c r="U28" s="6">
        <f t="shared" si="9"/>
        <v>9.7868988357171074E-2</v>
      </c>
      <c r="V28" s="6">
        <f t="shared" si="10"/>
        <v>2.4580664585283921E-2</v>
      </c>
      <c r="W28" s="6">
        <f t="shared" si="11"/>
        <v>6.2853914140892028E-4</v>
      </c>
      <c r="X28" s="6">
        <f t="shared" si="12"/>
        <v>0.12307819208386392</v>
      </c>
      <c r="Y28" s="6">
        <f t="shared" si="13"/>
        <v>0.13769581085881424</v>
      </c>
    </row>
    <row r="29" spans="1:25" x14ac:dyDescent="0.35">
      <c r="A29" s="2">
        <v>45074</v>
      </c>
      <c r="B29" s="3">
        <v>216662</v>
      </c>
      <c r="C29" s="3">
        <v>23760</v>
      </c>
      <c r="D29" s="3">
        <f t="shared" si="3"/>
        <v>240422</v>
      </c>
      <c r="E29" s="4">
        <f t="shared" si="4"/>
        <v>2507.662037037037</v>
      </c>
      <c r="F29" s="4">
        <f t="shared" si="4"/>
        <v>275</v>
      </c>
      <c r="G29" s="4">
        <f t="shared" si="5"/>
        <v>2782.662037037037</v>
      </c>
      <c r="H29" s="3">
        <v>160149</v>
      </c>
      <c r="I29" s="3">
        <v>65044</v>
      </c>
      <c r="J29" s="4">
        <f t="shared" si="0"/>
        <v>225193</v>
      </c>
      <c r="K29" s="4">
        <f t="shared" si="6"/>
        <v>1853.5763888888887</v>
      </c>
      <c r="L29" s="4">
        <f t="shared" si="7"/>
        <v>752.82407407407402</v>
      </c>
      <c r="M29" s="4">
        <f t="shared" si="1"/>
        <v>2606.4004629629626</v>
      </c>
      <c r="N29" s="5">
        <f t="shared" si="2"/>
        <v>6.3342788929465696E-2</v>
      </c>
      <c r="O29" s="7">
        <v>50.944731680129166</v>
      </c>
      <c r="P29" s="7">
        <v>21.191488299739625</v>
      </c>
      <c r="Q29" s="3">
        <v>22919.999999999618</v>
      </c>
      <c r="R29" s="3">
        <v>5900.0000000010004</v>
      </c>
      <c r="S29" s="3">
        <v>148.39999999999804</v>
      </c>
      <c r="T29" s="3">
        <f t="shared" si="8"/>
        <v>28968.400000000616</v>
      </c>
      <c r="U29" s="6">
        <f t="shared" si="9"/>
        <v>9.5332373909208054E-2</v>
      </c>
      <c r="V29" s="6">
        <f t="shared" si="10"/>
        <v>2.4540183510664584E-2</v>
      </c>
      <c r="W29" s="6">
        <f t="shared" si="11"/>
        <v>6.1724800559016248E-4</v>
      </c>
      <c r="X29" s="6">
        <f t="shared" si="12"/>
        <v>0.1204898054254628</v>
      </c>
      <c r="Y29" s="6">
        <f t="shared" si="13"/>
        <v>0.13370318745327106</v>
      </c>
    </row>
    <row r="30" spans="1:25" x14ac:dyDescent="0.35">
      <c r="A30" s="2">
        <v>45075</v>
      </c>
      <c r="B30" s="3">
        <v>223329</v>
      </c>
      <c r="C30" s="3">
        <v>29880</v>
      </c>
      <c r="D30" s="3">
        <f t="shared" si="3"/>
        <v>253209</v>
      </c>
      <c r="E30" s="4">
        <f t="shared" si="4"/>
        <v>2584.8263888888887</v>
      </c>
      <c r="F30" s="4">
        <f t="shared" si="4"/>
        <v>345.83333333333331</v>
      </c>
      <c r="G30" s="4">
        <f t="shared" si="5"/>
        <v>2930.6597222222222</v>
      </c>
      <c r="H30" s="3">
        <v>161732.00000000003</v>
      </c>
      <c r="I30" s="3">
        <v>66680</v>
      </c>
      <c r="J30" s="4">
        <f t="shared" si="0"/>
        <v>228412.00000000003</v>
      </c>
      <c r="K30" s="4">
        <f t="shared" si="6"/>
        <v>1871.8981481481483</v>
      </c>
      <c r="L30" s="4">
        <f t="shared" si="7"/>
        <v>771.75925925925924</v>
      </c>
      <c r="M30" s="4">
        <f t="shared" si="1"/>
        <v>2643.6574074074074</v>
      </c>
      <c r="N30" s="5">
        <f t="shared" si="2"/>
        <v>9.7930958220284317E-2</v>
      </c>
      <c r="O30" s="7">
        <v>53.700989628950524</v>
      </c>
      <c r="P30" s="7">
        <v>20.736348604778705</v>
      </c>
      <c r="Q30" s="3">
        <v>23850.000000002183</v>
      </c>
      <c r="R30" s="3">
        <v>7579.999999998563</v>
      </c>
      <c r="S30" s="3">
        <v>125.20000000000323</v>
      </c>
      <c r="T30" s="3">
        <f t="shared" si="8"/>
        <v>31555.20000000075</v>
      </c>
      <c r="U30" s="6">
        <f t="shared" si="9"/>
        <v>9.4190964776142166E-2</v>
      </c>
      <c r="V30" s="6">
        <f t="shared" si="10"/>
        <v>2.9935744779998195E-2</v>
      </c>
      <c r="W30" s="6">
        <f t="shared" si="11"/>
        <v>4.9445319874097382E-4</v>
      </c>
      <c r="X30" s="6">
        <f t="shared" si="12"/>
        <v>0.12462116275488135</v>
      </c>
      <c r="Y30" s="6">
        <f t="shared" si="13"/>
        <v>0.14129468183711363</v>
      </c>
    </row>
    <row r="31" spans="1:25" x14ac:dyDescent="0.35">
      <c r="A31" s="2">
        <v>45076</v>
      </c>
      <c r="B31" s="3">
        <v>214151</v>
      </c>
      <c r="C31" s="3">
        <v>28260</v>
      </c>
      <c r="D31" s="3">
        <f t="shared" si="3"/>
        <v>242411</v>
      </c>
      <c r="E31" s="4">
        <f t="shared" si="4"/>
        <v>2478.599537037037</v>
      </c>
      <c r="F31" s="4">
        <f t="shared" si="4"/>
        <v>327.08333333333331</v>
      </c>
      <c r="G31" s="4">
        <f t="shared" si="5"/>
        <v>2805.6828703703704</v>
      </c>
      <c r="H31" s="3">
        <v>161827.00000000003</v>
      </c>
      <c r="I31" s="3">
        <v>66958</v>
      </c>
      <c r="J31" s="4">
        <f t="shared" si="0"/>
        <v>228785.00000000003</v>
      </c>
      <c r="K31" s="4">
        <f t="shared" si="6"/>
        <v>1872.9976851851854</v>
      </c>
      <c r="L31" s="4">
        <f t="shared" si="7"/>
        <v>774.97685185185185</v>
      </c>
      <c r="M31" s="4">
        <f t="shared" si="1"/>
        <v>2647.9745370370374</v>
      </c>
      <c r="N31" s="5">
        <f t="shared" si="2"/>
        <v>5.6210320488756578E-2</v>
      </c>
      <c r="O31" s="7">
        <v>51.467889905986084</v>
      </c>
      <c r="P31" s="7">
        <v>21.251139593500294</v>
      </c>
      <c r="Q31" s="3">
        <v>23369.999999997162</v>
      </c>
      <c r="R31" s="3">
        <v>6238.0000000002838</v>
      </c>
      <c r="S31" s="3">
        <v>151.599999999994</v>
      </c>
      <c r="T31" s="3">
        <f t="shared" si="8"/>
        <v>29759.599999997441</v>
      </c>
      <c r="U31" s="6">
        <f t="shared" si="9"/>
        <v>9.6406516205936044E-2</v>
      </c>
      <c r="V31" s="6">
        <f t="shared" si="10"/>
        <v>2.5733155673629843E-2</v>
      </c>
      <c r="W31" s="6">
        <f t="shared" si="11"/>
        <v>6.2538416160980322E-4</v>
      </c>
      <c r="X31" s="6">
        <f t="shared" si="12"/>
        <v>0.1227650560411757</v>
      </c>
      <c r="Y31" s="6">
        <f t="shared" si="13"/>
        <v>0.13896549630866745</v>
      </c>
    </row>
    <row r="32" spans="1:25" x14ac:dyDescent="0.35">
      <c r="A32" s="2">
        <v>45077</v>
      </c>
      <c r="B32" s="3">
        <v>213973</v>
      </c>
      <c r="C32" s="3">
        <v>28260</v>
      </c>
      <c r="D32" s="3">
        <f t="shared" si="3"/>
        <v>242233</v>
      </c>
      <c r="E32" s="4">
        <f t="shared" si="4"/>
        <v>2476.5393518518517</v>
      </c>
      <c r="F32" s="4">
        <f t="shared" si="4"/>
        <v>327.08333333333331</v>
      </c>
      <c r="G32" s="4">
        <f t="shared" si="5"/>
        <v>2803.6226851851852</v>
      </c>
      <c r="H32" s="3">
        <v>161186</v>
      </c>
      <c r="I32" s="3">
        <v>67163</v>
      </c>
      <c r="J32" s="4">
        <f t="shared" si="0"/>
        <v>228349</v>
      </c>
      <c r="K32" s="4">
        <f t="shared" si="6"/>
        <v>1865.5787037037035</v>
      </c>
      <c r="L32" s="4">
        <f t="shared" si="7"/>
        <v>777.34953703703695</v>
      </c>
      <c r="M32" s="4">
        <f t="shared" si="1"/>
        <v>2642.9282407407404</v>
      </c>
      <c r="N32" s="5">
        <f t="shared" si="2"/>
        <v>5.7316715724116861E-2</v>
      </c>
      <c r="O32" s="7">
        <v>48.746852823521124</v>
      </c>
      <c r="P32" s="7">
        <v>21.00968489016773</v>
      </c>
      <c r="Q32" s="3">
        <v>24360.000000001037</v>
      </c>
      <c r="R32" s="3">
        <v>8842.0000000000982</v>
      </c>
      <c r="S32" s="3">
        <v>139.60000000000377</v>
      </c>
      <c r="T32" s="3">
        <f t="shared" si="8"/>
        <v>33341.600000001141</v>
      </c>
      <c r="U32" s="6">
        <f t="shared" si="9"/>
        <v>0.10056433268795349</v>
      </c>
      <c r="V32" s="6">
        <f t="shared" si="10"/>
        <v>3.6502045551184595E-2</v>
      </c>
      <c r="W32" s="6">
        <f t="shared" si="11"/>
        <v>5.7630463231683456E-4</v>
      </c>
      <c r="X32" s="6">
        <f t="shared" si="12"/>
        <v>0.13764268287145492</v>
      </c>
      <c r="Y32" s="6">
        <f t="shared" si="13"/>
        <v>0.15582152888449075</v>
      </c>
    </row>
    <row r="33" spans="1:25" x14ac:dyDescent="0.35">
      <c r="A33" s="2">
        <v>45078</v>
      </c>
      <c r="B33" s="3">
        <v>213445</v>
      </c>
      <c r="C33" s="3">
        <v>28447.200000000001</v>
      </c>
      <c r="D33" s="3">
        <f t="shared" si="3"/>
        <v>241892.2</v>
      </c>
      <c r="E33" s="4">
        <f t="shared" si="4"/>
        <v>2470.4282407407404</v>
      </c>
      <c r="F33" s="4">
        <f t="shared" si="4"/>
        <v>329.25</v>
      </c>
      <c r="G33" s="4">
        <f t="shared" si="5"/>
        <v>2799.6782407407404</v>
      </c>
      <c r="H33" s="3">
        <v>160097</v>
      </c>
      <c r="I33" s="3">
        <v>64229</v>
      </c>
      <c r="J33" s="4">
        <f t="shared" si="0"/>
        <v>224326</v>
      </c>
      <c r="K33" s="4">
        <f t="shared" si="6"/>
        <v>1852.974537037037</v>
      </c>
      <c r="L33" s="4">
        <f t="shared" si="7"/>
        <v>743.3912037037037</v>
      </c>
      <c r="M33" s="4">
        <f t="shared" si="1"/>
        <v>2596.3657407407409</v>
      </c>
      <c r="N33" s="5">
        <f t="shared" si="2"/>
        <v>7.2619952193580486E-2</v>
      </c>
      <c r="O33" s="7">
        <v>51.29538943380561</v>
      </c>
      <c r="P33" s="7">
        <v>21.834986824709517</v>
      </c>
      <c r="Q33" s="3">
        <v>21870.000000001255</v>
      </c>
      <c r="R33" s="3">
        <v>5880.0000000010186</v>
      </c>
      <c r="S33" s="3">
        <v>143.99999999999977</v>
      </c>
      <c r="T33" s="3">
        <f t="shared" si="8"/>
        <v>27894.000000002274</v>
      </c>
      <c r="U33" s="6">
        <f t="shared" si="9"/>
        <v>9.0412175340921511E-2</v>
      </c>
      <c r="V33" s="6">
        <f t="shared" si="10"/>
        <v>2.4308348925682673E-2</v>
      </c>
      <c r="W33" s="6">
        <f t="shared" si="11"/>
        <v>5.9530650430232872E-4</v>
      </c>
      <c r="X33" s="6">
        <f t="shared" si="12"/>
        <v>0.11531583077090651</v>
      </c>
      <c r="Y33" s="6">
        <f t="shared" si="13"/>
        <v>0.13068471971703377</v>
      </c>
    </row>
    <row r="34" spans="1:25" x14ac:dyDescent="0.35">
      <c r="A34" s="2">
        <v>45079</v>
      </c>
      <c r="B34" s="3">
        <v>213551</v>
      </c>
      <c r="C34" s="3">
        <v>27720</v>
      </c>
      <c r="D34" s="3">
        <f t="shared" si="3"/>
        <v>241271</v>
      </c>
      <c r="E34" s="4">
        <f t="shared" si="4"/>
        <v>2471.6550925925926</v>
      </c>
      <c r="F34" s="4">
        <f t="shared" si="4"/>
        <v>320.83333333333331</v>
      </c>
      <c r="G34" s="4">
        <f t="shared" si="5"/>
        <v>2792.4884259259261</v>
      </c>
      <c r="H34" s="3">
        <v>159745</v>
      </c>
      <c r="I34" s="3">
        <v>64857</v>
      </c>
      <c r="J34" s="4">
        <f t="shared" si="0"/>
        <v>224602</v>
      </c>
      <c r="K34" s="4">
        <f t="shared" si="6"/>
        <v>1848.9004629629628</v>
      </c>
      <c r="L34" s="4">
        <f t="shared" si="7"/>
        <v>750.65972222222217</v>
      </c>
      <c r="M34" s="4">
        <f t="shared" si="1"/>
        <v>2599.5601851851852</v>
      </c>
      <c r="N34" s="5">
        <f t="shared" si="2"/>
        <v>6.9088286615465594E-2</v>
      </c>
      <c r="O34" s="7">
        <v>53.322321373061833</v>
      </c>
      <c r="P34" s="7">
        <v>20.882285894284848</v>
      </c>
      <c r="Q34" s="3">
        <v>24239.999999999782</v>
      </c>
      <c r="R34" s="3">
        <v>6699.9999999993634</v>
      </c>
      <c r="S34" s="3">
        <v>154.399999999996</v>
      </c>
      <c r="T34" s="3">
        <f t="shared" si="8"/>
        <v>31094.399999999143</v>
      </c>
      <c r="U34" s="6">
        <f t="shared" si="9"/>
        <v>0.10046793854213636</v>
      </c>
      <c r="V34" s="6">
        <f t="shared" si="10"/>
        <v>2.7769603474928042E-2</v>
      </c>
      <c r="W34" s="6">
        <f t="shared" si="11"/>
        <v>6.3994429500435605E-4</v>
      </c>
      <c r="X34" s="6">
        <f t="shared" si="12"/>
        <v>0.12887748631206877</v>
      </c>
      <c r="Y34" s="6">
        <f t="shared" si="13"/>
        <v>0.14560643593333275</v>
      </c>
    </row>
    <row r="35" spans="1:25" x14ac:dyDescent="0.35">
      <c r="A35" s="2">
        <v>45080</v>
      </c>
      <c r="B35" s="3">
        <v>213665</v>
      </c>
      <c r="C35" s="3">
        <v>27720</v>
      </c>
      <c r="D35" s="3">
        <f t="shared" si="3"/>
        <v>241385</v>
      </c>
      <c r="E35" s="4">
        <f t="shared" si="4"/>
        <v>2472.974537037037</v>
      </c>
      <c r="F35" s="4">
        <f t="shared" si="4"/>
        <v>320.83333333333331</v>
      </c>
      <c r="G35" s="4">
        <f t="shared" si="5"/>
        <v>2793.8078703703704</v>
      </c>
      <c r="H35" s="3">
        <v>159434</v>
      </c>
      <c r="I35" s="3">
        <v>64571</v>
      </c>
      <c r="J35" s="4">
        <f t="shared" si="0"/>
        <v>224005</v>
      </c>
      <c r="K35" s="4">
        <f t="shared" si="6"/>
        <v>1845.3009259259259</v>
      </c>
      <c r="L35" s="4">
        <f t="shared" si="7"/>
        <v>747.34953703703695</v>
      </c>
      <c r="M35" s="4">
        <f t="shared" si="1"/>
        <v>2592.6504629629626</v>
      </c>
      <c r="N35" s="5">
        <f t="shared" si="2"/>
        <v>7.2001159972657783E-2</v>
      </c>
      <c r="O35" s="7">
        <v>49.699716220974807</v>
      </c>
      <c r="P35" s="7">
        <v>21.341466951136152</v>
      </c>
      <c r="Q35" s="3">
        <v>22709.999999999127</v>
      </c>
      <c r="R35" s="3">
        <v>6060.0000000004002</v>
      </c>
      <c r="S35" s="3">
        <v>130.80000000000155</v>
      </c>
      <c r="T35" s="3">
        <f t="shared" si="8"/>
        <v>28900.79999999953</v>
      </c>
      <c r="U35" s="6">
        <f t="shared" si="9"/>
        <v>9.4082068065534832E-2</v>
      </c>
      <c r="V35" s="6">
        <f t="shared" si="10"/>
        <v>2.5105122522113638E-2</v>
      </c>
      <c r="W35" s="6">
        <f t="shared" si="11"/>
        <v>5.4187294156638377E-4</v>
      </c>
      <c r="X35" s="6">
        <f t="shared" si="12"/>
        <v>0.11972906352921486</v>
      </c>
      <c r="Y35" s="6">
        <f t="shared" si="13"/>
        <v>0.13526220953361351</v>
      </c>
    </row>
    <row r="36" spans="1:25" x14ac:dyDescent="0.35">
      <c r="A36" s="2">
        <v>45081</v>
      </c>
      <c r="B36" s="3">
        <v>213614</v>
      </c>
      <c r="C36" s="3">
        <v>24750</v>
      </c>
      <c r="D36" s="3">
        <f t="shared" si="3"/>
        <v>238364</v>
      </c>
      <c r="E36" s="4">
        <f t="shared" si="4"/>
        <v>2472.3842592592591</v>
      </c>
      <c r="F36" s="4">
        <f t="shared" si="4"/>
        <v>286.45833333333331</v>
      </c>
      <c r="G36" s="4">
        <f t="shared" si="5"/>
        <v>2758.8425925925926</v>
      </c>
      <c r="H36" s="3">
        <v>158980</v>
      </c>
      <c r="I36" s="3">
        <v>64802</v>
      </c>
      <c r="J36" s="4">
        <f t="shared" si="0"/>
        <v>223782</v>
      </c>
      <c r="K36" s="4">
        <f t="shared" si="6"/>
        <v>1840.0462962962961</v>
      </c>
      <c r="L36" s="4">
        <f t="shared" si="7"/>
        <v>750.02314814814815</v>
      </c>
      <c r="M36" s="4">
        <f t="shared" si="1"/>
        <v>2590.0694444444443</v>
      </c>
      <c r="N36" s="5">
        <f t="shared" si="2"/>
        <v>6.1175345270258932E-2</v>
      </c>
      <c r="O36" s="7">
        <v>45.098279941601952</v>
      </c>
      <c r="P36" s="7">
        <v>21.849440351730966</v>
      </c>
      <c r="Q36" s="3">
        <v>22709.999999999127</v>
      </c>
      <c r="R36" s="3">
        <v>5740.0000000006912</v>
      </c>
      <c r="S36" s="3">
        <v>104.80000000000132</v>
      </c>
      <c r="T36" s="3">
        <f t="shared" si="8"/>
        <v>28554.799999999821</v>
      </c>
      <c r="U36" s="6">
        <f t="shared" si="9"/>
        <v>9.527445419609977E-2</v>
      </c>
      <c r="V36" s="6">
        <f t="shared" si="10"/>
        <v>2.408081757312636E-2</v>
      </c>
      <c r="W36" s="6">
        <f t="shared" si="11"/>
        <v>4.3966370760685893E-4</v>
      </c>
      <c r="X36" s="6">
        <f t="shared" si="12"/>
        <v>0.11979493547683299</v>
      </c>
      <c r="Y36" s="6">
        <f t="shared" si="13"/>
        <v>0.13367475914499902</v>
      </c>
    </row>
    <row r="37" spans="1:25" x14ac:dyDescent="0.35">
      <c r="A37" s="2">
        <v>45082</v>
      </c>
      <c r="B37" s="3">
        <v>213455</v>
      </c>
      <c r="C37" s="3">
        <v>29880</v>
      </c>
      <c r="D37" s="3">
        <f t="shared" si="3"/>
        <v>243335</v>
      </c>
      <c r="E37" s="4">
        <f t="shared" si="4"/>
        <v>2470.5439814814813</v>
      </c>
      <c r="F37" s="4">
        <f t="shared" si="4"/>
        <v>345.83333333333331</v>
      </c>
      <c r="G37" s="4">
        <f t="shared" si="5"/>
        <v>2816.3773148148148</v>
      </c>
      <c r="H37" s="3">
        <v>159991</v>
      </c>
      <c r="I37" s="3">
        <v>66764</v>
      </c>
      <c r="J37" s="4">
        <f t="shared" si="0"/>
        <v>226755</v>
      </c>
      <c r="K37" s="4">
        <f t="shared" si="6"/>
        <v>1851.747685185185</v>
      </c>
      <c r="L37" s="4">
        <f t="shared" si="7"/>
        <v>772.73148148148141</v>
      </c>
      <c r="M37" s="4">
        <f t="shared" si="1"/>
        <v>2624.4791666666665</v>
      </c>
      <c r="N37" s="5">
        <f t="shared" si="2"/>
        <v>6.8136519612879365E-2</v>
      </c>
      <c r="O37" s="7">
        <v>48.210927322415557</v>
      </c>
      <c r="P37" s="7">
        <v>21.054122916966321</v>
      </c>
      <c r="Q37" s="3">
        <v>23760.000000000218</v>
      </c>
      <c r="R37" s="3">
        <v>7499.9999999986358</v>
      </c>
      <c r="S37" s="3">
        <v>103.60000000000127</v>
      </c>
      <c r="T37" s="3">
        <f t="shared" si="8"/>
        <v>31363.599999998856</v>
      </c>
      <c r="U37" s="6">
        <f t="shared" si="9"/>
        <v>9.7643166827625361E-2</v>
      </c>
      <c r="V37" s="6">
        <f t="shared" si="10"/>
        <v>3.0821706700633431E-2</v>
      </c>
      <c r="W37" s="6">
        <f t="shared" si="11"/>
        <v>4.2575050855816582E-4</v>
      </c>
      <c r="X37" s="6">
        <f t="shared" si="12"/>
        <v>0.12889062403681698</v>
      </c>
      <c r="Y37" s="6">
        <f t="shared" si="13"/>
        <v>0.14693307722938725</v>
      </c>
    </row>
    <row r="38" spans="1:25" x14ac:dyDescent="0.35">
      <c r="A38" s="2">
        <v>45083</v>
      </c>
      <c r="B38" s="3">
        <v>213778</v>
      </c>
      <c r="C38" s="3">
        <v>27720</v>
      </c>
      <c r="D38" s="3">
        <f t="shared" si="3"/>
        <v>241498</v>
      </c>
      <c r="E38" s="4">
        <f t="shared" si="4"/>
        <v>2474.2824074074074</v>
      </c>
      <c r="F38" s="4">
        <f t="shared" si="4"/>
        <v>320.83333333333331</v>
      </c>
      <c r="G38" s="4">
        <f t="shared" si="5"/>
        <v>2795.1157407407409</v>
      </c>
      <c r="H38" s="3">
        <v>161133</v>
      </c>
      <c r="I38" s="3">
        <v>66754</v>
      </c>
      <c r="J38" s="4">
        <f t="shared" si="0"/>
        <v>227887</v>
      </c>
      <c r="K38" s="4">
        <f t="shared" si="6"/>
        <v>1864.9652777777776</v>
      </c>
      <c r="L38" s="4">
        <f t="shared" si="7"/>
        <v>772.61574074074065</v>
      </c>
      <c r="M38" s="4">
        <f t="shared" si="1"/>
        <v>2637.5810185185182</v>
      </c>
      <c r="N38" s="5">
        <f t="shared" si="2"/>
        <v>5.6360715202610372E-2</v>
      </c>
      <c r="O38" s="7">
        <v>52.514668444459204</v>
      </c>
      <c r="P38" s="7">
        <v>19.573391912148342</v>
      </c>
      <c r="Q38" s="3">
        <v>23580.000000001746</v>
      </c>
      <c r="R38" s="3">
        <v>6500.0000000009095</v>
      </c>
      <c r="S38" s="3">
        <v>105.19999999999868</v>
      </c>
      <c r="T38" s="3">
        <f t="shared" si="8"/>
        <v>30185.200000002653</v>
      </c>
      <c r="U38" s="6">
        <f t="shared" si="9"/>
        <v>9.7640560170277793E-2</v>
      </c>
      <c r="V38" s="6">
        <f t="shared" si="10"/>
        <v>2.6915336772979113E-2</v>
      </c>
      <c r="W38" s="6">
        <f t="shared" si="11"/>
        <v>4.356143736179955E-4</v>
      </c>
      <c r="X38" s="6">
        <f t="shared" si="12"/>
        <v>0.12499151131687489</v>
      </c>
      <c r="Y38" s="6">
        <f t="shared" si="13"/>
        <v>0.14119881372265927</v>
      </c>
    </row>
    <row r="39" spans="1:25" x14ac:dyDescent="0.35">
      <c r="A39" s="2">
        <v>45084</v>
      </c>
      <c r="B39" s="3">
        <v>213268</v>
      </c>
      <c r="C39" s="3">
        <v>30060</v>
      </c>
      <c r="D39" s="3">
        <f t="shared" si="3"/>
        <v>243328</v>
      </c>
      <c r="E39" s="4">
        <f t="shared" si="4"/>
        <v>2468.3796296296296</v>
      </c>
      <c r="F39" s="4">
        <f t="shared" si="4"/>
        <v>347.91666666666663</v>
      </c>
      <c r="G39" s="4">
        <f t="shared" si="5"/>
        <v>2816.2962962962961</v>
      </c>
      <c r="H39" s="3">
        <v>161299</v>
      </c>
      <c r="I39" s="3">
        <v>67047</v>
      </c>
      <c r="J39" s="4">
        <f t="shared" si="0"/>
        <v>228346</v>
      </c>
      <c r="K39" s="4">
        <f t="shared" si="6"/>
        <v>1866.8865740740739</v>
      </c>
      <c r="L39" s="4">
        <f t="shared" si="7"/>
        <v>776.00694444444434</v>
      </c>
      <c r="M39" s="4">
        <f t="shared" si="1"/>
        <v>2642.8935185185182</v>
      </c>
      <c r="N39" s="5">
        <f t="shared" si="2"/>
        <v>6.1571212519726456E-2</v>
      </c>
      <c r="O39" s="7">
        <v>50.308645120988899</v>
      </c>
      <c r="P39" s="7">
        <v>21.264112638085219</v>
      </c>
      <c r="Q39" s="3">
        <v>23819.999999998799</v>
      </c>
      <c r="R39" s="3">
        <v>6979.9999999995634</v>
      </c>
      <c r="S39" s="3">
        <v>135.60000000000286</v>
      </c>
      <c r="T39" s="3">
        <f t="shared" si="8"/>
        <v>30935.599999998365</v>
      </c>
      <c r="U39" s="6">
        <f t="shared" si="9"/>
        <v>9.7892556549179707E-2</v>
      </c>
      <c r="V39" s="6">
        <f t="shared" si="10"/>
        <v>2.8685560231455333E-2</v>
      </c>
      <c r="W39" s="6">
        <f t="shared" si="11"/>
        <v>5.5727248816413589E-4</v>
      </c>
      <c r="X39" s="6">
        <f t="shared" si="12"/>
        <v>0.12713538926879916</v>
      </c>
      <c r="Y39" s="6">
        <f t="shared" si="13"/>
        <v>0.14505504810847555</v>
      </c>
    </row>
    <row r="40" spans="1:25" x14ac:dyDescent="0.35">
      <c r="A40" s="2">
        <v>45085</v>
      </c>
      <c r="B40" s="3">
        <v>213166</v>
      </c>
      <c r="C40" s="3">
        <v>30240.000000000004</v>
      </c>
      <c r="D40" s="3">
        <f t="shared" si="3"/>
        <v>243406</v>
      </c>
      <c r="E40" s="4">
        <f t="shared" si="4"/>
        <v>2467.1990740740739</v>
      </c>
      <c r="F40" s="4">
        <f t="shared" si="4"/>
        <v>350</v>
      </c>
      <c r="G40" s="4">
        <f t="shared" si="5"/>
        <v>2817.1990740740739</v>
      </c>
      <c r="H40" s="3">
        <v>161214</v>
      </c>
      <c r="I40" s="3">
        <v>66728</v>
      </c>
      <c r="J40" s="4">
        <f t="shared" si="0"/>
        <v>227942</v>
      </c>
      <c r="K40" s="4">
        <f t="shared" si="6"/>
        <v>1865.9027777777776</v>
      </c>
      <c r="L40" s="4">
        <f t="shared" si="7"/>
        <v>772.31481481481478</v>
      </c>
      <c r="M40" s="4">
        <f t="shared" si="1"/>
        <v>2638.2175925925922</v>
      </c>
      <c r="N40" s="5">
        <f t="shared" si="2"/>
        <v>6.3531712447515667E-2</v>
      </c>
      <c r="O40" s="7">
        <v>48.527973837949766</v>
      </c>
      <c r="P40" s="7">
        <v>20.908436932532478</v>
      </c>
      <c r="Q40" s="3">
        <v>23880.000000000109</v>
      </c>
      <c r="R40" s="3">
        <v>6639.9999999994179</v>
      </c>
      <c r="S40" s="3">
        <v>133.99999999999977</v>
      </c>
      <c r="T40" s="3">
        <f t="shared" si="8"/>
        <v>30653.999999999527</v>
      </c>
      <c r="U40" s="6">
        <f t="shared" si="9"/>
        <v>9.8107688388947317E-2</v>
      </c>
      <c r="V40" s="6">
        <f t="shared" si="10"/>
        <v>2.72795247446629E-2</v>
      </c>
      <c r="W40" s="6">
        <f t="shared" si="11"/>
        <v>5.5052052948571426E-4</v>
      </c>
      <c r="X40" s="6">
        <f t="shared" si="12"/>
        <v>0.12593773366309594</v>
      </c>
      <c r="Y40" s="6">
        <f t="shared" si="13"/>
        <v>0.14380342080819422</v>
      </c>
    </row>
    <row r="41" spans="1:25" x14ac:dyDescent="0.35">
      <c r="A41" s="2">
        <v>45086</v>
      </c>
      <c r="B41" s="3">
        <v>213571</v>
      </c>
      <c r="C41" s="3">
        <v>21780</v>
      </c>
      <c r="D41" s="3">
        <f t="shared" si="3"/>
        <v>235351</v>
      </c>
      <c r="E41" s="4">
        <f t="shared" si="4"/>
        <v>2471.8865740740739</v>
      </c>
      <c r="F41" s="4">
        <f t="shared" si="4"/>
        <v>252.08333333333331</v>
      </c>
      <c r="G41" s="4">
        <f t="shared" si="5"/>
        <v>2723.9699074074074</v>
      </c>
      <c r="H41" s="3">
        <v>160549</v>
      </c>
      <c r="I41" s="3">
        <v>66581</v>
      </c>
      <c r="J41" s="4">
        <f t="shared" si="0"/>
        <v>227130</v>
      </c>
      <c r="K41" s="4">
        <f t="shared" si="6"/>
        <v>1858.2060185185185</v>
      </c>
      <c r="L41" s="4">
        <f t="shared" si="7"/>
        <v>770.61342592592587</v>
      </c>
      <c r="M41" s="4">
        <f t="shared" si="1"/>
        <v>2628.8194444444443</v>
      </c>
      <c r="N41" s="5">
        <f t="shared" si="2"/>
        <v>3.4930805477775745E-2</v>
      </c>
      <c r="O41" s="7">
        <v>53.723060450136181</v>
      </c>
      <c r="P41" s="7">
        <v>21.40755722304133</v>
      </c>
      <c r="Q41" s="3">
        <v>23880.000000000109</v>
      </c>
      <c r="R41" s="3">
        <v>5920.0000000009823</v>
      </c>
      <c r="S41" s="3">
        <v>119.59999999999695</v>
      </c>
      <c r="T41" s="3">
        <f t="shared" si="8"/>
        <v>29919.60000000109</v>
      </c>
      <c r="U41" s="6">
        <f t="shared" si="9"/>
        <v>0.10146547072245331</v>
      </c>
      <c r="V41" s="6">
        <f t="shared" si="10"/>
        <v>2.5153919040076238E-2</v>
      </c>
      <c r="W41" s="6">
        <f t="shared" si="11"/>
        <v>5.0817714817441584E-4</v>
      </c>
      <c r="X41" s="6">
        <f t="shared" si="12"/>
        <v>0.12712756691070398</v>
      </c>
      <c r="Y41" s="6">
        <f t="shared" si="13"/>
        <v>0.14009205369643393</v>
      </c>
    </row>
    <row r="42" spans="1:25" x14ac:dyDescent="0.35">
      <c r="A42" s="2">
        <v>45087</v>
      </c>
      <c r="B42" s="3">
        <v>213305</v>
      </c>
      <c r="C42" s="3">
        <v>30427.199999999997</v>
      </c>
      <c r="D42" s="3">
        <f t="shared" si="3"/>
        <v>243732.2</v>
      </c>
      <c r="E42" s="4">
        <f t="shared" si="4"/>
        <v>2468.80787037037</v>
      </c>
      <c r="F42" s="4">
        <f t="shared" si="4"/>
        <v>352.16666666666663</v>
      </c>
      <c r="G42" s="4">
        <f t="shared" si="5"/>
        <v>2820.9745370370365</v>
      </c>
      <c r="H42" s="3">
        <v>159812</v>
      </c>
      <c r="I42" s="3">
        <v>63584</v>
      </c>
      <c r="J42" s="4">
        <f t="shared" si="0"/>
        <v>223396</v>
      </c>
      <c r="K42" s="4">
        <f t="shared" si="6"/>
        <v>1849.6759259259259</v>
      </c>
      <c r="L42" s="4">
        <f t="shared" si="7"/>
        <v>735.92592592592587</v>
      </c>
      <c r="M42" s="4">
        <f t="shared" si="1"/>
        <v>2585.6018518518517</v>
      </c>
      <c r="N42" s="5">
        <f t="shared" si="2"/>
        <v>8.3436657117935215E-2</v>
      </c>
      <c r="O42" s="7">
        <v>55.860620796103262</v>
      </c>
      <c r="P42" s="7">
        <v>21.228848711823879</v>
      </c>
      <c r="Q42" s="3">
        <v>22979.999999999563</v>
      </c>
      <c r="R42" s="3">
        <v>5919.9999999991633</v>
      </c>
      <c r="S42" s="3">
        <v>116.40000000000441</v>
      </c>
      <c r="T42" s="3">
        <f t="shared" si="8"/>
        <v>29016.399999998732</v>
      </c>
      <c r="U42" s="6">
        <f t="shared" si="9"/>
        <v>9.4283808212454329E-2</v>
      </c>
      <c r="V42" s="6">
        <f t="shared" si="10"/>
        <v>2.4288953203553586E-2</v>
      </c>
      <c r="W42" s="6">
        <f t="shared" si="11"/>
        <v>4.775733366375243E-4</v>
      </c>
      <c r="X42" s="6">
        <f t="shared" si="12"/>
        <v>0.11905033475264544</v>
      </c>
      <c r="Y42" s="6">
        <f t="shared" si="13"/>
        <v>0.13603244180867177</v>
      </c>
    </row>
    <row r="43" spans="1:25" x14ac:dyDescent="0.35">
      <c r="A43" s="2">
        <v>45088</v>
      </c>
      <c r="B43" s="3">
        <v>213269</v>
      </c>
      <c r="C43" s="3">
        <v>29610</v>
      </c>
      <c r="D43" s="3">
        <f t="shared" si="3"/>
        <v>242879</v>
      </c>
      <c r="E43" s="4">
        <f t="shared" si="4"/>
        <v>2468.3912037037035</v>
      </c>
      <c r="F43" s="4">
        <f t="shared" si="4"/>
        <v>342.70833333333331</v>
      </c>
      <c r="G43" s="4">
        <f t="shared" si="5"/>
        <v>2811.099537037037</v>
      </c>
      <c r="H43" s="3">
        <v>159332</v>
      </c>
      <c r="I43" s="3">
        <v>63006</v>
      </c>
      <c r="J43" s="4">
        <f t="shared" si="0"/>
        <v>222338</v>
      </c>
      <c r="K43" s="4">
        <f t="shared" si="6"/>
        <v>1844.1203703703702</v>
      </c>
      <c r="L43" s="4">
        <f t="shared" si="7"/>
        <v>729.23611111111109</v>
      </c>
      <c r="M43" s="4">
        <f t="shared" si="1"/>
        <v>2573.3564814814813</v>
      </c>
      <c r="N43" s="5">
        <f t="shared" si="2"/>
        <v>8.4572976667394051E-2</v>
      </c>
      <c r="O43" s="7">
        <v>48.633270064517724</v>
      </c>
      <c r="P43" s="7">
        <v>19.18240358367747</v>
      </c>
      <c r="Q43" s="3">
        <v>23250.000000001364</v>
      </c>
      <c r="R43" s="3">
        <v>5960.0000000009459</v>
      </c>
      <c r="S43" s="3">
        <v>154.39999999999827</v>
      </c>
      <c r="T43" s="3">
        <f t="shared" si="8"/>
        <v>29364.400000002308</v>
      </c>
      <c r="U43" s="6">
        <f t="shared" si="9"/>
        <v>9.5726678716568189E-2</v>
      </c>
      <c r="V43" s="6">
        <f t="shared" si="10"/>
        <v>2.4538967963475416E-2</v>
      </c>
      <c r="W43" s="6">
        <f t="shared" si="11"/>
        <v>6.3570749220804711E-4</v>
      </c>
      <c r="X43" s="6">
        <f t="shared" si="12"/>
        <v>0.12090135417225165</v>
      </c>
      <c r="Y43" s="6">
        <f t="shared" si="13"/>
        <v>0.1376871462800609</v>
      </c>
    </row>
    <row r="44" spans="1:25" x14ac:dyDescent="0.35">
      <c r="A44" s="2">
        <v>45089</v>
      </c>
      <c r="B44" s="3">
        <v>213363</v>
      </c>
      <c r="C44" s="3">
        <v>30240.000000000004</v>
      </c>
      <c r="D44" s="3">
        <f t="shared" si="3"/>
        <v>243603</v>
      </c>
      <c r="E44" s="4">
        <f t="shared" si="4"/>
        <v>2469.4791666666665</v>
      </c>
      <c r="F44" s="4">
        <f t="shared" si="4"/>
        <v>350</v>
      </c>
      <c r="G44" s="4">
        <f t="shared" si="5"/>
        <v>2819.4791666666665</v>
      </c>
      <c r="H44" s="3">
        <v>161075</v>
      </c>
      <c r="I44" s="3">
        <v>65472</v>
      </c>
      <c r="J44" s="4">
        <f t="shared" si="0"/>
        <v>226547</v>
      </c>
      <c r="K44" s="4">
        <f t="shared" si="6"/>
        <v>1864.2939814814813</v>
      </c>
      <c r="L44" s="4">
        <f t="shared" si="7"/>
        <v>757.77777777777771</v>
      </c>
      <c r="M44" s="4">
        <f t="shared" si="1"/>
        <v>2622.0717592592591</v>
      </c>
      <c r="N44" s="5">
        <f t="shared" si="2"/>
        <v>7.0015558100680206E-2</v>
      </c>
      <c r="O44" s="7">
        <v>50.831574323797334</v>
      </c>
      <c r="P44" s="7">
        <v>21.681641851701333</v>
      </c>
      <c r="Q44" s="3">
        <v>23969.999999997981</v>
      </c>
      <c r="R44" s="3">
        <v>6339.9999999983265</v>
      </c>
      <c r="S44" s="3">
        <v>115.60000000000059</v>
      </c>
      <c r="T44" s="3">
        <f t="shared" si="8"/>
        <v>30425.59999999631</v>
      </c>
      <c r="U44" s="6">
        <f t="shared" si="9"/>
        <v>9.8397802982713597E-2</v>
      </c>
      <c r="V44" s="6">
        <f t="shared" si="10"/>
        <v>2.6025952061338845E-2</v>
      </c>
      <c r="W44" s="6">
        <f t="shared" si="11"/>
        <v>4.7454259594504418E-4</v>
      </c>
      <c r="X44" s="6">
        <f t="shared" si="12"/>
        <v>0.12489829763999749</v>
      </c>
      <c r="Y44" s="6">
        <f t="shared" si="13"/>
        <v>0.1426001696638888</v>
      </c>
    </row>
    <row r="45" spans="1:25" x14ac:dyDescent="0.35">
      <c r="A45" s="2">
        <v>45090</v>
      </c>
      <c r="B45" s="3">
        <v>212911</v>
      </c>
      <c r="C45" s="3">
        <v>30240.000000000004</v>
      </c>
      <c r="D45" s="3">
        <f t="shared" si="3"/>
        <v>243151</v>
      </c>
      <c r="E45" s="4">
        <f t="shared" si="4"/>
        <v>2464.2476851851852</v>
      </c>
      <c r="F45" s="4">
        <f t="shared" si="4"/>
        <v>350</v>
      </c>
      <c r="G45" s="4">
        <f t="shared" si="5"/>
        <v>2814.2476851851852</v>
      </c>
      <c r="H45" s="3">
        <v>161091</v>
      </c>
      <c r="I45" s="3">
        <v>66346</v>
      </c>
      <c r="J45" s="4">
        <f t="shared" si="0"/>
        <v>227437</v>
      </c>
      <c r="K45" s="4">
        <f t="shared" si="6"/>
        <v>1864.4791666666665</v>
      </c>
      <c r="L45" s="4">
        <f t="shared" si="7"/>
        <v>767.89351851851848</v>
      </c>
      <c r="M45" s="4">
        <f t="shared" si="1"/>
        <v>2632.3726851851852</v>
      </c>
      <c r="N45" s="5">
        <f t="shared" si="2"/>
        <v>6.4626507807905381E-2</v>
      </c>
      <c r="O45" s="7">
        <v>52.410345834481454</v>
      </c>
      <c r="P45" s="7">
        <v>21.931482905684121</v>
      </c>
      <c r="Q45" s="3">
        <v>23940.000000001419</v>
      </c>
      <c r="R45" s="3">
        <v>6600.0000000003638</v>
      </c>
      <c r="S45" s="3">
        <v>102.39999999999554</v>
      </c>
      <c r="T45" s="3">
        <f t="shared" si="8"/>
        <v>30642.400000001777</v>
      </c>
      <c r="U45" s="6">
        <f t="shared" si="9"/>
        <v>9.845733721021678E-2</v>
      </c>
      <c r="V45" s="6">
        <f t="shared" si="10"/>
        <v>2.7143626799809022E-2</v>
      </c>
      <c r="W45" s="6">
        <f t="shared" si="11"/>
        <v>4.2113748246972268E-4</v>
      </c>
      <c r="X45" s="6">
        <f t="shared" si="12"/>
        <v>0.12602210149249551</v>
      </c>
      <c r="Y45" s="6">
        <f t="shared" si="13"/>
        <v>0.14392116893914253</v>
      </c>
    </row>
    <row r="46" spans="1:25" x14ac:dyDescent="0.35">
      <c r="A46" s="2">
        <v>45091</v>
      </c>
      <c r="B46" s="3">
        <v>214170</v>
      </c>
      <c r="C46" s="3">
        <v>30240.000000000004</v>
      </c>
      <c r="D46" s="3">
        <f t="shared" si="3"/>
        <v>244410</v>
      </c>
      <c r="E46" s="4">
        <f t="shared" si="4"/>
        <v>2478.8194444444443</v>
      </c>
      <c r="F46" s="4">
        <f t="shared" si="4"/>
        <v>350</v>
      </c>
      <c r="G46" s="4">
        <f t="shared" si="5"/>
        <v>2828.8194444444443</v>
      </c>
      <c r="H46" s="3">
        <v>161943</v>
      </c>
      <c r="I46" s="3">
        <v>71258</v>
      </c>
      <c r="J46" s="4">
        <f t="shared" si="0"/>
        <v>233201</v>
      </c>
      <c r="K46" s="4">
        <f t="shared" si="6"/>
        <v>1874.3402777777776</v>
      </c>
      <c r="L46" s="4">
        <f t="shared" si="7"/>
        <v>824.74537037037032</v>
      </c>
      <c r="M46" s="4">
        <f t="shared" si="1"/>
        <v>2699.0856481481478</v>
      </c>
      <c r="N46" s="5">
        <f t="shared" si="2"/>
        <v>4.5861462296960025E-2</v>
      </c>
      <c r="O46" s="7">
        <v>48.757824966245245</v>
      </c>
      <c r="P46" s="7">
        <v>21.934319381367374</v>
      </c>
      <c r="Q46" s="3">
        <v>25109.999999999673</v>
      </c>
      <c r="R46" s="3">
        <v>6299.9999999997272</v>
      </c>
      <c r="S46" s="3">
        <v>117.60000000000332</v>
      </c>
      <c r="T46" s="3">
        <f t="shared" si="8"/>
        <v>31527.599999999402</v>
      </c>
      <c r="U46" s="6">
        <f t="shared" si="9"/>
        <v>0.10273720387872702</v>
      </c>
      <c r="V46" s="6">
        <f t="shared" si="10"/>
        <v>2.5776359396095606E-2</v>
      </c>
      <c r="W46" s="6">
        <f t="shared" si="11"/>
        <v>4.8115870872715241E-4</v>
      </c>
      <c r="X46" s="6">
        <f t="shared" si="12"/>
        <v>0.12899472198354978</v>
      </c>
      <c r="Y46" s="6">
        <f t="shared" si="13"/>
        <v>0.14720829247793529</v>
      </c>
    </row>
    <row r="47" spans="1:25" x14ac:dyDescent="0.35">
      <c r="A47" s="2">
        <v>45092</v>
      </c>
      <c r="B47" s="3">
        <v>213896</v>
      </c>
      <c r="C47" s="3">
        <v>33840</v>
      </c>
      <c r="D47" s="3">
        <f t="shared" si="3"/>
        <v>247736</v>
      </c>
      <c r="E47" s="4">
        <f t="shared" si="4"/>
        <v>2475.6481481481478</v>
      </c>
      <c r="F47" s="4">
        <f t="shared" si="4"/>
        <v>391.66666666666663</v>
      </c>
      <c r="G47" s="4">
        <f t="shared" si="5"/>
        <v>2867.3148148148143</v>
      </c>
      <c r="H47" s="3">
        <v>162006</v>
      </c>
      <c r="I47" s="3">
        <v>72414</v>
      </c>
      <c r="J47" s="4">
        <f t="shared" si="0"/>
        <v>234420</v>
      </c>
      <c r="K47" s="4">
        <f t="shared" si="6"/>
        <v>1875.0694444444443</v>
      </c>
      <c r="L47" s="4">
        <f t="shared" si="7"/>
        <v>838.125</v>
      </c>
      <c r="M47" s="4">
        <f t="shared" si="1"/>
        <v>2713.1944444444443</v>
      </c>
      <c r="N47" s="5">
        <f t="shared" si="2"/>
        <v>5.3750766945458071E-2</v>
      </c>
      <c r="O47" s="7">
        <v>50.221849065133853</v>
      </c>
      <c r="P47" s="7">
        <v>22.028304323957762</v>
      </c>
      <c r="Q47" s="3">
        <v>25470.000000000709</v>
      </c>
      <c r="R47" s="3">
        <v>7100.0000000012733</v>
      </c>
      <c r="S47" s="3">
        <v>110.00000000000227</v>
      </c>
      <c r="T47" s="3">
        <f t="shared" si="8"/>
        <v>32680.000000001986</v>
      </c>
      <c r="U47" s="6">
        <f t="shared" si="9"/>
        <v>0.10281105693157518</v>
      </c>
      <c r="V47" s="6">
        <f t="shared" si="10"/>
        <v>2.865954080150351E-2</v>
      </c>
      <c r="W47" s="6">
        <f t="shared" si="11"/>
        <v>4.4402105467111069E-4</v>
      </c>
      <c r="X47" s="6">
        <f t="shared" si="12"/>
        <v>0.13191461878774982</v>
      </c>
      <c r="Y47" s="6">
        <f t="shared" si="13"/>
        <v>0.15278453080002424</v>
      </c>
    </row>
    <row r="48" spans="1:25" x14ac:dyDescent="0.35">
      <c r="A48" s="2">
        <v>45093</v>
      </c>
      <c r="B48" s="3">
        <v>214185</v>
      </c>
      <c r="C48" s="3">
        <v>34200</v>
      </c>
      <c r="D48" s="3">
        <f t="shared" si="3"/>
        <v>248385</v>
      </c>
      <c r="E48" s="4">
        <f t="shared" si="4"/>
        <v>2478.9930555555552</v>
      </c>
      <c r="F48" s="4">
        <f t="shared" si="4"/>
        <v>395.83333333333331</v>
      </c>
      <c r="G48" s="4">
        <f t="shared" si="5"/>
        <v>2874.8263888888887</v>
      </c>
      <c r="H48" s="3">
        <v>161713</v>
      </c>
      <c r="I48" s="3">
        <v>71763</v>
      </c>
      <c r="J48" s="4">
        <f t="shared" si="0"/>
        <v>233476</v>
      </c>
      <c r="K48" s="4">
        <f t="shared" si="6"/>
        <v>1871.6782407407406</v>
      </c>
      <c r="L48" s="4">
        <f t="shared" si="7"/>
        <v>830.59027777777771</v>
      </c>
      <c r="M48" s="4">
        <f t="shared" si="1"/>
        <v>2702.2685185185182</v>
      </c>
      <c r="N48" s="5">
        <f t="shared" si="2"/>
        <v>6.002375344726936E-2</v>
      </c>
      <c r="O48" s="7">
        <v>49.766869980071263</v>
      </c>
      <c r="P48" s="7">
        <v>21.742834712241077</v>
      </c>
      <c r="Q48" s="3">
        <v>25109.999999999673</v>
      </c>
      <c r="R48" s="3">
        <v>6579.9999999999272</v>
      </c>
      <c r="S48" s="3">
        <v>111.59999999999968</v>
      </c>
      <c r="T48" s="3">
        <f t="shared" si="8"/>
        <v>31801.599999999598</v>
      </c>
      <c r="U48" s="6">
        <f t="shared" si="9"/>
        <v>0.10109306117519042</v>
      </c>
      <c r="V48" s="6">
        <f t="shared" si="10"/>
        <v>2.6491132717353816E-2</v>
      </c>
      <c r="W48" s="6">
        <f t="shared" si="11"/>
        <v>4.4930249411196201E-4</v>
      </c>
      <c r="X48" s="6">
        <f t="shared" si="12"/>
        <v>0.1280334963866562</v>
      </c>
      <c r="Y48" s="6">
        <f t="shared" si="13"/>
        <v>0.14847725097462286</v>
      </c>
    </row>
    <row r="49" spans="1:25" x14ac:dyDescent="0.35">
      <c r="A49" s="2">
        <v>45094</v>
      </c>
      <c r="B49" s="3">
        <v>214512</v>
      </c>
      <c r="C49" s="3">
        <v>28800</v>
      </c>
      <c r="D49" s="3">
        <f t="shared" si="3"/>
        <v>243312</v>
      </c>
      <c r="E49" s="4">
        <f t="shared" si="4"/>
        <v>2482.7777777777778</v>
      </c>
      <c r="F49" s="4">
        <f t="shared" si="4"/>
        <v>333.33333333333331</v>
      </c>
      <c r="G49" s="4">
        <f t="shared" si="5"/>
        <v>2816.1111111111113</v>
      </c>
      <c r="H49" s="3">
        <v>160526</v>
      </c>
      <c r="I49" s="3">
        <v>67072</v>
      </c>
      <c r="J49" s="4">
        <f t="shared" si="0"/>
        <v>227598</v>
      </c>
      <c r="K49" s="4">
        <f t="shared" si="6"/>
        <v>1857.9398148148148</v>
      </c>
      <c r="L49" s="4">
        <f t="shared" si="7"/>
        <v>776.29629629629619</v>
      </c>
      <c r="M49" s="4">
        <f t="shared" si="1"/>
        <v>2634.2361111111109</v>
      </c>
      <c r="N49" s="5">
        <f t="shared" si="2"/>
        <v>6.4583744328269882E-2</v>
      </c>
      <c r="O49" s="7">
        <v>45.002022095087789</v>
      </c>
      <c r="P49" s="7">
        <v>21.521441605839417</v>
      </c>
      <c r="Q49" s="3">
        <v>21359.999999999673</v>
      </c>
      <c r="R49" s="3">
        <v>5500</v>
      </c>
      <c r="S49" s="3">
        <v>143.59999999999332</v>
      </c>
      <c r="T49" s="3">
        <f t="shared" si="8"/>
        <v>27003.599999999667</v>
      </c>
      <c r="U49" s="6">
        <f t="shared" si="9"/>
        <v>8.7788518445451408E-2</v>
      </c>
      <c r="V49" s="6">
        <f t="shared" si="10"/>
        <v>2.2604721509830998E-2</v>
      </c>
      <c r="W49" s="6">
        <f t="shared" si="11"/>
        <v>5.9018872887483284E-4</v>
      </c>
      <c r="X49" s="6">
        <f t="shared" si="12"/>
        <v>0.11098342868415724</v>
      </c>
      <c r="Y49" s="6">
        <f t="shared" si="13"/>
        <v>0.12588386663682996</v>
      </c>
    </row>
    <row r="50" spans="1:25" x14ac:dyDescent="0.35">
      <c r="A50" s="2">
        <v>45095</v>
      </c>
      <c r="B50" s="3">
        <v>214252</v>
      </c>
      <c r="C50" s="3">
        <v>28260</v>
      </c>
      <c r="D50" s="3">
        <f t="shared" si="3"/>
        <v>242512</v>
      </c>
      <c r="E50" s="4">
        <f t="shared" si="4"/>
        <v>2479.7685185185182</v>
      </c>
      <c r="F50" s="4">
        <f t="shared" si="4"/>
        <v>327.08333333333331</v>
      </c>
      <c r="G50" s="4">
        <f t="shared" si="5"/>
        <v>2806.8518518518517</v>
      </c>
      <c r="H50" s="3">
        <v>160007</v>
      </c>
      <c r="I50" s="3">
        <v>67126</v>
      </c>
      <c r="J50" s="4">
        <f t="shared" si="0"/>
        <v>227133</v>
      </c>
      <c r="K50" s="4">
        <f t="shared" si="6"/>
        <v>1851.9328703703702</v>
      </c>
      <c r="L50" s="4">
        <f t="shared" si="7"/>
        <v>776.92129629629619</v>
      </c>
      <c r="M50" s="4">
        <f t="shared" si="1"/>
        <v>2628.8541666666665</v>
      </c>
      <c r="N50" s="5">
        <f t="shared" si="2"/>
        <v>6.3415418618460118E-2</v>
      </c>
      <c r="O50" s="7">
        <v>55.004271953552816</v>
      </c>
      <c r="P50" s="7">
        <v>21.405691264762154</v>
      </c>
      <c r="Q50" s="3">
        <v>25319.999999998799</v>
      </c>
      <c r="R50" s="3">
        <v>5459.9999999995816</v>
      </c>
      <c r="S50" s="3">
        <v>154.00000000000773</v>
      </c>
      <c r="T50" s="3">
        <f t="shared" si="8"/>
        <v>30933.999999998388</v>
      </c>
      <c r="U50" s="6">
        <f t="shared" si="9"/>
        <v>0.10440720459193277</v>
      </c>
      <c r="V50" s="6">
        <f t="shared" si="10"/>
        <v>2.251434980536873E-2</v>
      </c>
      <c r="W50" s="6">
        <f t="shared" si="11"/>
        <v>6.3502012271560886E-4</v>
      </c>
      <c r="X50" s="6">
        <f t="shared" si="12"/>
        <v>0.12755657452001712</v>
      </c>
      <c r="Y50" s="6">
        <f t="shared" si="13"/>
        <v>0.14438138267086603</v>
      </c>
    </row>
    <row r="51" spans="1:25" x14ac:dyDescent="0.35">
      <c r="A51" s="2">
        <v>45096</v>
      </c>
      <c r="B51" s="3">
        <v>208690</v>
      </c>
      <c r="C51" s="3">
        <v>36000</v>
      </c>
      <c r="D51" s="3">
        <f t="shared" si="3"/>
        <v>244690</v>
      </c>
      <c r="E51" s="4">
        <f t="shared" si="4"/>
        <v>2415.3935185185182</v>
      </c>
      <c r="F51" s="4">
        <f t="shared" si="4"/>
        <v>416.66666666666663</v>
      </c>
      <c r="G51" s="4">
        <f t="shared" si="5"/>
        <v>2832.0601851851848</v>
      </c>
      <c r="H51" s="3">
        <v>162052</v>
      </c>
      <c r="I51" s="3">
        <v>69255</v>
      </c>
      <c r="J51" s="4">
        <f t="shared" si="0"/>
        <v>231307</v>
      </c>
      <c r="K51" s="4">
        <f t="shared" si="6"/>
        <v>1875.6018518518517</v>
      </c>
      <c r="L51" s="4">
        <f t="shared" si="7"/>
        <v>801.5625</v>
      </c>
      <c r="M51" s="4">
        <f t="shared" si="1"/>
        <v>2677.1643518518517</v>
      </c>
      <c r="N51" s="5">
        <f t="shared" si="2"/>
        <v>5.4693694061874208E-2</v>
      </c>
      <c r="O51" s="7">
        <v>53.871641669050632</v>
      </c>
      <c r="P51" s="7">
        <v>22.11743839143406</v>
      </c>
      <c r="Q51" s="3">
        <v>24300.000000001091</v>
      </c>
      <c r="R51" s="3">
        <v>6920.0000000009823</v>
      </c>
      <c r="S51" s="3">
        <v>136.79999999999495</v>
      </c>
      <c r="T51" s="3">
        <f t="shared" si="8"/>
        <v>31356.800000002069</v>
      </c>
      <c r="U51" s="6">
        <f t="shared" si="9"/>
        <v>9.9309330172876256E-2</v>
      </c>
      <c r="V51" s="6">
        <f t="shared" si="10"/>
        <v>2.8280681678862978E-2</v>
      </c>
      <c r="W51" s="6">
        <f t="shared" si="11"/>
        <v>5.5907474763985021E-4</v>
      </c>
      <c r="X51" s="6">
        <f t="shared" si="12"/>
        <v>0.1281490865993791</v>
      </c>
      <c r="Y51" s="6">
        <f t="shared" si="13"/>
        <v>0.15025540275050109</v>
      </c>
    </row>
    <row r="52" spans="1:25" x14ac:dyDescent="0.35">
      <c r="A52" s="2">
        <v>45097</v>
      </c>
      <c r="B52" s="3">
        <v>212156</v>
      </c>
      <c r="C52" s="3">
        <v>34200</v>
      </c>
      <c r="D52" s="3">
        <f t="shared" si="3"/>
        <v>246356</v>
      </c>
      <c r="E52" s="4">
        <f t="shared" si="4"/>
        <v>2455.5092592592591</v>
      </c>
      <c r="F52" s="4">
        <f t="shared" si="4"/>
        <v>395.83333333333331</v>
      </c>
      <c r="G52" s="4">
        <f t="shared" si="5"/>
        <v>2851.3425925925926</v>
      </c>
      <c r="H52" s="3">
        <v>162092</v>
      </c>
      <c r="I52" s="3">
        <v>67034</v>
      </c>
      <c r="J52" s="4">
        <f t="shared" si="0"/>
        <v>229126</v>
      </c>
      <c r="K52" s="4">
        <f t="shared" si="6"/>
        <v>1876.0648148148148</v>
      </c>
      <c r="L52" s="4">
        <f t="shared" si="7"/>
        <v>775.85648148148141</v>
      </c>
      <c r="M52" s="4">
        <f t="shared" si="1"/>
        <v>2651.9212962962961</v>
      </c>
      <c r="N52" s="5">
        <f t="shared" si="2"/>
        <v>6.9939437237168972E-2</v>
      </c>
      <c r="O52" s="7">
        <v>49.005033366347888</v>
      </c>
      <c r="P52" s="7">
        <v>20.612110117066358</v>
      </c>
      <c r="Q52" s="3">
        <v>23880.000000001473</v>
      </c>
      <c r="R52" s="3">
        <v>7200.0000000002728</v>
      </c>
      <c r="S52" s="3">
        <v>146.39999999999873</v>
      </c>
      <c r="T52" s="3">
        <f t="shared" si="8"/>
        <v>31226.400000001744</v>
      </c>
      <c r="U52" s="6">
        <f t="shared" si="9"/>
        <v>9.69328938609227E-2</v>
      </c>
      <c r="V52" s="6">
        <f t="shared" si="10"/>
        <v>2.9225998149021225E-2</v>
      </c>
      <c r="W52" s="6">
        <f t="shared" si="11"/>
        <v>5.9426196236340393E-4</v>
      </c>
      <c r="X52" s="6">
        <f t="shared" si="12"/>
        <v>0.12675315397230733</v>
      </c>
      <c r="Y52" s="6">
        <f t="shared" si="13"/>
        <v>0.14718603291918089</v>
      </c>
    </row>
    <row r="53" spans="1:25" x14ac:dyDescent="0.35">
      <c r="A53" s="2">
        <v>45098</v>
      </c>
      <c r="B53" s="3">
        <v>213286</v>
      </c>
      <c r="C53" s="3">
        <v>35100</v>
      </c>
      <c r="D53" s="3">
        <f t="shared" si="3"/>
        <v>248386</v>
      </c>
      <c r="E53" s="4">
        <f t="shared" si="4"/>
        <v>2468.5879629629626</v>
      </c>
      <c r="F53" s="4">
        <f t="shared" si="4"/>
        <v>406.25</v>
      </c>
      <c r="G53" s="4">
        <f t="shared" si="5"/>
        <v>2874.8379629629626</v>
      </c>
      <c r="H53" s="3">
        <v>161859</v>
      </c>
      <c r="I53" s="3">
        <v>66890</v>
      </c>
      <c r="J53" s="4">
        <f t="shared" si="0"/>
        <v>228749</v>
      </c>
      <c r="K53" s="4">
        <f t="shared" si="6"/>
        <v>1873.3680555555554</v>
      </c>
      <c r="L53" s="4">
        <f t="shared" si="7"/>
        <v>774.18981481481478</v>
      </c>
      <c r="M53" s="4">
        <f t="shared" si="1"/>
        <v>2647.5578703703704</v>
      </c>
      <c r="N53" s="5">
        <f t="shared" si="2"/>
        <v>7.9058401037095494E-2</v>
      </c>
      <c r="O53" s="7">
        <v>48.247936679200919</v>
      </c>
      <c r="P53" s="7">
        <v>20.648772475099239</v>
      </c>
      <c r="Q53" s="3">
        <v>23609.999999999673</v>
      </c>
      <c r="R53" s="3">
        <v>6779.9999999997453</v>
      </c>
      <c r="S53" s="3">
        <v>145.20000000000437</v>
      </c>
      <c r="T53" s="3">
        <f t="shared" si="8"/>
        <v>30535.199999999422</v>
      </c>
      <c r="U53" s="6">
        <f t="shared" si="9"/>
        <v>9.5053666470733753E-2</v>
      </c>
      <c r="V53" s="6">
        <f t="shared" si="10"/>
        <v>2.7296224424886047E-2</v>
      </c>
      <c r="W53" s="6">
        <f t="shared" si="11"/>
        <v>5.8457400980733358E-4</v>
      </c>
      <c r="X53" s="6">
        <f t="shared" si="12"/>
        <v>0.12293446490542713</v>
      </c>
      <c r="Y53" s="6">
        <f t="shared" si="13"/>
        <v>0.14316551484860432</v>
      </c>
    </row>
    <row r="54" spans="1:25" x14ac:dyDescent="0.35">
      <c r="A54" s="2">
        <v>45099</v>
      </c>
      <c r="B54" s="3">
        <v>213401</v>
      </c>
      <c r="C54" s="3">
        <v>34200</v>
      </c>
      <c r="D54" s="3">
        <f t="shared" si="3"/>
        <v>247601</v>
      </c>
      <c r="E54" s="4">
        <f t="shared" si="4"/>
        <v>2469.9189814814813</v>
      </c>
      <c r="F54" s="4">
        <f t="shared" si="4"/>
        <v>395.83333333333331</v>
      </c>
      <c r="G54" s="4">
        <f t="shared" si="5"/>
        <v>2865.7523148148148</v>
      </c>
      <c r="H54" s="3">
        <v>161228</v>
      </c>
      <c r="I54" s="3">
        <v>66910</v>
      </c>
      <c r="J54" s="4">
        <f t="shared" si="0"/>
        <v>228138</v>
      </c>
      <c r="K54" s="4">
        <f t="shared" si="6"/>
        <v>1866.0648148148148</v>
      </c>
      <c r="L54" s="4">
        <f t="shared" si="7"/>
        <v>774.42129629629619</v>
      </c>
      <c r="M54" s="4">
        <f t="shared" si="1"/>
        <v>2640.4861111111109</v>
      </c>
      <c r="N54" s="5">
        <f t="shared" si="2"/>
        <v>7.8606306113464808E-2</v>
      </c>
      <c r="O54" s="7">
        <v>48.258108812161502</v>
      </c>
      <c r="P54" s="7">
        <v>20.30269667731552</v>
      </c>
      <c r="Q54" s="3">
        <v>23610.000000001037</v>
      </c>
      <c r="R54" s="3">
        <v>6840.0000000001455</v>
      </c>
      <c r="S54" s="3">
        <v>138.79999999999882</v>
      </c>
      <c r="T54" s="3">
        <f t="shared" si="8"/>
        <v>30588.800000001182</v>
      </c>
      <c r="U54" s="6">
        <f t="shared" si="9"/>
        <v>9.535502683753716E-2</v>
      </c>
      <c r="V54" s="6">
        <f t="shared" si="10"/>
        <v>2.7625090367163888E-2</v>
      </c>
      <c r="W54" s="6">
        <f t="shared" si="11"/>
        <v>5.6057931914652536E-4</v>
      </c>
      <c r="X54" s="6">
        <f t="shared" si="12"/>
        <v>0.12354069652384757</v>
      </c>
      <c r="Y54" s="6">
        <f t="shared" si="13"/>
        <v>0.14333953449140904</v>
      </c>
    </row>
    <row r="55" spans="1:25" x14ac:dyDescent="0.35">
      <c r="A55" s="2">
        <v>45100</v>
      </c>
      <c r="B55" s="3">
        <v>213855</v>
      </c>
      <c r="C55" s="3">
        <v>31500</v>
      </c>
      <c r="D55" s="3">
        <f t="shared" si="3"/>
        <v>245355</v>
      </c>
      <c r="E55" s="4">
        <f t="shared" si="4"/>
        <v>2475.1736111111109</v>
      </c>
      <c r="F55" s="4">
        <f t="shared" si="4"/>
        <v>364.58333333333331</v>
      </c>
      <c r="G55" s="4">
        <f t="shared" si="5"/>
        <v>2839.7569444444443</v>
      </c>
      <c r="H55" s="3">
        <v>162016</v>
      </c>
      <c r="I55" s="3">
        <v>67075</v>
      </c>
      <c r="J55" s="4">
        <f t="shared" si="0"/>
        <v>229091</v>
      </c>
      <c r="K55" s="4">
        <f t="shared" si="6"/>
        <v>1875.185185185185</v>
      </c>
      <c r="L55" s="4">
        <f t="shared" si="7"/>
        <v>776.33101851851848</v>
      </c>
      <c r="M55" s="4">
        <f t="shared" si="1"/>
        <v>2651.5162037037035</v>
      </c>
      <c r="N55" s="5">
        <f t="shared" si="2"/>
        <v>6.6287624054940805E-2</v>
      </c>
      <c r="O55" s="7">
        <v>48.088655213873771</v>
      </c>
      <c r="P55" s="7">
        <v>21.388384178027756</v>
      </c>
      <c r="Q55" s="3">
        <v>23639.999999998963</v>
      </c>
      <c r="R55" s="3">
        <v>6879.9999999987449</v>
      </c>
      <c r="S55" s="3">
        <v>114.00000000000318</v>
      </c>
      <c r="T55" s="3">
        <f t="shared" si="8"/>
        <v>30633.999999997712</v>
      </c>
      <c r="U55" s="6">
        <f t="shared" si="9"/>
        <v>9.6350186464506382E-2</v>
      </c>
      <c r="V55" s="6">
        <f t="shared" si="10"/>
        <v>2.8041001813693404E-2</v>
      </c>
      <c r="W55" s="6">
        <f t="shared" si="11"/>
        <v>4.6463287888978493E-4</v>
      </c>
      <c r="X55" s="6">
        <f t="shared" si="12"/>
        <v>0.12485582115708957</v>
      </c>
      <c r="Y55" s="6">
        <f t="shared" si="13"/>
        <v>0.14324659231721359</v>
      </c>
    </row>
    <row r="56" spans="1:25" x14ac:dyDescent="0.35">
      <c r="A56" s="2">
        <v>45101</v>
      </c>
      <c r="B56" s="3">
        <v>214716</v>
      </c>
      <c r="C56" s="3">
        <v>27450</v>
      </c>
      <c r="D56" s="3">
        <f t="shared" si="3"/>
        <v>242166</v>
      </c>
      <c r="E56" s="4">
        <f t="shared" si="4"/>
        <v>2485.1388888888887</v>
      </c>
      <c r="F56" s="4">
        <f t="shared" si="4"/>
        <v>317.70833333333331</v>
      </c>
      <c r="G56" s="4">
        <f t="shared" si="5"/>
        <v>2802.8472222222222</v>
      </c>
      <c r="H56" s="3">
        <v>161186</v>
      </c>
      <c r="I56" s="3">
        <v>64489</v>
      </c>
      <c r="J56" s="4">
        <f t="shared" si="0"/>
        <v>225675</v>
      </c>
      <c r="K56" s="4">
        <f t="shared" si="6"/>
        <v>1865.5787037037035</v>
      </c>
      <c r="L56" s="4">
        <f t="shared" si="7"/>
        <v>746.40046296296293</v>
      </c>
      <c r="M56" s="4">
        <f t="shared" si="1"/>
        <v>2611.9791666666665</v>
      </c>
      <c r="N56" s="5">
        <f t="shared" si="2"/>
        <v>6.8097916305344272E-2</v>
      </c>
      <c r="O56" s="7">
        <v>46.366839275538268</v>
      </c>
      <c r="P56" s="7">
        <v>21.062250687544907</v>
      </c>
      <c r="Q56" s="3">
        <v>22919.999999999618</v>
      </c>
      <c r="R56" s="3">
        <v>5220.0000000002547</v>
      </c>
      <c r="S56" s="3">
        <v>113.59999999999332</v>
      </c>
      <c r="T56" s="3">
        <f t="shared" si="8"/>
        <v>28253.599999999868</v>
      </c>
      <c r="U56" s="6">
        <f t="shared" si="9"/>
        <v>9.4645821461310078E-2</v>
      </c>
      <c r="V56" s="6">
        <f t="shared" si="10"/>
        <v>2.1555461955849519E-2</v>
      </c>
      <c r="W56" s="6">
        <f t="shared" si="11"/>
        <v>4.6909970846441414E-4</v>
      </c>
      <c r="X56" s="6">
        <f t="shared" si="12"/>
        <v>0.11667038312562403</v>
      </c>
      <c r="Y56" s="6">
        <f t="shared" si="13"/>
        <v>0.13158590882840529</v>
      </c>
    </row>
    <row r="57" spans="1:25" x14ac:dyDescent="0.35">
      <c r="A57" s="2">
        <v>45102</v>
      </c>
      <c r="B57" s="3">
        <v>215795</v>
      </c>
      <c r="C57" s="3">
        <v>25200</v>
      </c>
      <c r="D57" s="3">
        <f t="shared" si="3"/>
        <v>240995</v>
      </c>
      <c r="E57" s="4">
        <f t="shared" si="4"/>
        <v>2497.6273148148148</v>
      </c>
      <c r="F57" s="4">
        <f t="shared" si="4"/>
        <v>291.66666666666663</v>
      </c>
      <c r="G57" s="4">
        <f t="shared" si="5"/>
        <v>2789.2939814814813</v>
      </c>
      <c r="H57" s="3">
        <v>160743</v>
      </c>
      <c r="I57" s="3">
        <v>64590</v>
      </c>
      <c r="J57" s="4">
        <f t="shared" si="0"/>
        <v>225333</v>
      </c>
      <c r="K57" s="4">
        <f t="shared" si="6"/>
        <v>1860.4513888888887</v>
      </c>
      <c r="L57" s="4">
        <f t="shared" si="7"/>
        <v>747.56944444444434</v>
      </c>
      <c r="M57" s="4">
        <f t="shared" si="1"/>
        <v>2608.020833333333</v>
      </c>
      <c r="N57" s="5">
        <f t="shared" si="2"/>
        <v>6.498890018465113E-2</v>
      </c>
      <c r="O57" s="7">
        <v>55.384352372455858</v>
      </c>
      <c r="P57" s="7">
        <v>21.258553082014149</v>
      </c>
      <c r="Q57" s="3">
        <v>22859.999999999673</v>
      </c>
      <c r="R57" s="3">
        <v>5220.0000000007094</v>
      </c>
      <c r="S57" s="3">
        <v>111.60000000000309</v>
      </c>
      <c r="T57" s="3">
        <f t="shared" si="8"/>
        <v>28191.600000000384</v>
      </c>
      <c r="U57" s="6">
        <f t="shared" si="9"/>
        <v>9.4856739766383841E-2</v>
      </c>
      <c r="V57" s="6">
        <f t="shared" si="10"/>
        <v>2.1660200419098774E-2</v>
      </c>
      <c r="W57" s="6">
        <f t="shared" si="11"/>
        <v>4.6308014689102717E-4</v>
      </c>
      <c r="X57" s="6">
        <f t="shared" si="12"/>
        <v>0.11698002033237363</v>
      </c>
      <c r="Y57" s="6">
        <f t="shared" si="13"/>
        <v>0.13064065432470809</v>
      </c>
    </row>
    <row r="58" spans="1:25" x14ac:dyDescent="0.35">
      <c r="A58" s="2">
        <v>45103</v>
      </c>
      <c r="B58" s="3">
        <v>216364</v>
      </c>
      <c r="C58" s="3">
        <v>28350.000000000004</v>
      </c>
      <c r="D58" s="3">
        <f t="shared" si="3"/>
        <v>244714</v>
      </c>
      <c r="E58" s="4">
        <f t="shared" si="4"/>
        <v>2504.2129629629626</v>
      </c>
      <c r="F58" s="4">
        <f t="shared" si="4"/>
        <v>328.125</v>
      </c>
      <c r="G58" s="4">
        <f t="shared" si="5"/>
        <v>2832.3379629629626</v>
      </c>
      <c r="H58" s="3">
        <v>161794</v>
      </c>
      <c r="I58" s="3">
        <v>67040</v>
      </c>
      <c r="J58" s="4">
        <f t="shared" si="0"/>
        <v>228834</v>
      </c>
      <c r="K58" s="4">
        <f t="shared" si="6"/>
        <v>1872.6157407407406</v>
      </c>
      <c r="L58" s="4">
        <f t="shared" si="7"/>
        <v>775.92592592592587</v>
      </c>
      <c r="M58" s="4">
        <f t="shared" si="1"/>
        <v>2648.5416666666665</v>
      </c>
      <c r="N58" s="5">
        <f t="shared" si="2"/>
        <v>6.4892078099332284E-2</v>
      </c>
      <c r="O58" s="7">
        <v>52.28356367024363</v>
      </c>
      <c r="P58" s="7">
        <v>21.814538604248224</v>
      </c>
      <c r="Q58" s="3">
        <v>23940.000000000055</v>
      </c>
      <c r="R58" s="3">
        <v>5800.0000000001819</v>
      </c>
      <c r="S58" s="3">
        <v>107.60000000000105</v>
      </c>
      <c r="T58" s="3">
        <f t="shared" si="8"/>
        <v>29847.600000000239</v>
      </c>
      <c r="U58" s="6">
        <f t="shared" si="9"/>
        <v>9.7828485497356316E-2</v>
      </c>
      <c r="V58" s="6">
        <f t="shared" si="10"/>
        <v>2.3701136837288351E-2</v>
      </c>
      <c r="W58" s="6">
        <f t="shared" si="11"/>
        <v>4.3969695236071926E-4</v>
      </c>
      <c r="X58" s="6">
        <f t="shared" si="12"/>
        <v>0.1219693192870054</v>
      </c>
      <c r="Y58" s="6">
        <f t="shared" si="13"/>
        <v>0.13795086058679004</v>
      </c>
    </row>
    <row r="59" spans="1:25" x14ac:dyDescent="0.35">
      <c r="A59" s="2">
        <v>45104</v>
      </c>
      <c r="B59" s="3">
        <v>214767</v>
      </c>
      <c r="C59" s="3">
        <v>25200</v>
      </c>
      <c r="D59" s="3">
        <f t="shared" si="3"/>
        <v>239967</v>
      </c>
      <c r="E59" s="4">
        <f t="shared" si="4"/>
        <v>2485.7291666666665</v>
      </c>
      <c r="F59" s="4">
        <f t="shared" si="4"/>
        <v>291.66666666666663</v>
      </c>
      <c r="G59" s="4">
        <f t="shared" si="5"/>
        <v>2777.395833333333</v>
      </c>
      <c r="H59" s="3">
        <v>161580</v>
      </c>
      <c r="I59" s="3">
        <v>67062</v>
      </c>
      <c r="J59" s="4">
        <f t="shared" si="0"/>
        <v>228642</v>
      </c>
      <c r="K59" s="4">
        <f t="shared" si="6"/>
        <v>1870.1388888888887</v>
      </c>
      <c r="L59" s="4">
        <f t="shared" si="7"/>
        <v>776.18055555555554</v>
      </c>
      <c r="M59" s="4">
        <f t="shared" si="1"/>
        <v>2646.3194444444443</v>
      </c>
      <c r="N59" s="5">
        <f t="shared" si="2"/>
        <v>4.7193989173511357E-2</v>
      </c>
      <c r="O59" s="7">
        <v>49.443648501668982</v>
      </c>
      <c r="P59" s="7">
        <v>22.364025053444848</v>
      </c>
      <c r="Q59" s="3">
        <v>23670.000000000982</v>
      </c>
      <c r="R59" s="3">
        <v>5679.9999999993815</v>
      </c>
      <c r="S59" s="3">
        <v>83.2000000000005</v>
      </c>
      <c r="T59" s="3">
        <f t="shared" si="8"/>
        <v>29433.200000000365</v>
      </c>
      <c r="U59" s="6">
        <f t="shared" si="9"/>
        <v>9.8638562802389418E-2</v>
      </c>
      <c r="V59" s="6">
        <f t="shared" si="10"/>
        <v>2.3669921280840205E-2</v>
      </c>
      <c r="W59" s="6">
        <f t="shared" si="11"/>
        <v>3.4671433988840342E-4</v>
      </c>
      <c r="X59" s="6">
        <f t="shared" si="12"/>
        <v>0.12265519842311803</v>
      </c>
      <c r="Y59" s="6">
        <f t="shared" si="13"/>
        <v>0.13704712548948564</v>
      </c>
    </row>
    <row r="60" spans="1:25" x14ac:dyDescent="0.35">
      <c r="A60" s="2">
        <v>45105</v>
      </c>
      <c r="B60" s="3">
        <v>216879</v>
      </c>
      <c r="C60" s="3">
        <v>21600</v>
      </c>
      <c r="D60" s="3">
        <f t="shared" si="3"/>
        <v>238479</v>
      </c>
      <c r="E60" s="4">
        <f t="shared" si="4"/>
        <v>2510.1736111111109</v>
      </c>
      <c r="F60" s="4">
        <f t="shared" si="4"/>
        <v>249.99999999999997</v>
      </c>
      <c r="G60" s="4">
        <f t="shared" si="5"/>
        <v>2760.1736111111109</v>
      </c>
      <c r="H60" s="3">
        <v>160422</v>
      </c>
      <c r="I60" s="3">
        <v>64847</v>
      </c>
      <c r="J60" s="4">
        <f t="shared" si="0"/>
        <v>225269</v>
      </c>
      <c r="K60" s="4">
        <f t="shared" si="6"/>
        <v>1856.7361111111111</v>
      </c>
      <c r="L60" s="4">
        <f t="shared" si="7"/>
        <v>750.54398148148141</v>
      </c>
      <c r="M60" s="4">
        <f t="shared" si="1"/>
        <v>2607.2800925925926</v>
      </c>
      <c r="N60" s="5">
        <f t="shared" si="2"/>
        <v>5.5392718017100037E-2</v>
      </c>
      <c r="O60" s="7">
        <v>49.568054210223963</v>
      </c>
      <c r="P60" s="7">
        <v>23.120752770684213</v>
      </c>
      <c r="Q60" s="3">
        <v>23159.9999999994</v>
      </c>
      <c r="R60" s="3">
        <v>5140.0000000003274</v>
      </c>
      <c r="S60" s="3">
        <v>99.999999999997726</v>
      </c>
      <c r="T60" s="3">
        <f t="shared" si="8"/>
        <v>28399.999999999724</v>
      </c>
      <c r="U60" s="6">
        <f t="shared" si="9"/>
        <v>9.7115469286601336E-2</v>
      </c>
      <c r="V60" s="6">
        <f t="shared" si="10"/>
        <v>2.1553260454800327E-2</v>
      </c>
      <c r="W60" s="6">
        <f t="shared" si="11"/>
        <v>4.1932413336183785E-4</v>
      </c>
      <c r="X60" s="6">
        <f t="shared" si="12"/>
        <v>0.1190880538747635</v>
      </c>
      <c r="Y60" s="6">
        <f t="shared" si="13"/>
        <v>0.13094859345533558</v>
      </c>
    </row>
    <row r="61" spans="1:25" x14ac:dyDescent="0.35">
      <c r="A61" s="2">
        <v>45106</v>
      </c>
      <c r="B61" s="3">
        <v>216305</v>
      </c>
      <c r="C61" s="3">
        <v>18900</v>
      </c>
      <c r="D61" s="3">
        <f t="shared" si="3"/>
        <v>235205</v>
      </c>
      <c r="E61" s="4">
        <f t="shared" si="4"/>
        <v>2503.5300925925926</v>
      </c>
      <c r="F61" s="4">
        <f t="shared" si="4"/>
        <v>218.74999999999997</v>
      </c>
      <c r="G61" s="4">
        <f t="shared" si="5"/>
        <v>2722.2800925925926</v>
      </c>
      <c r="H61" s="3">
        <v>158811</v>
      </c>
      <c r="I61" s="3">
        <v>63778</v>
      </c>
      <c r="J61" s="4">
        <f t="shared" si="0"/>
        <v>222589</v>
      </c>
      <c r="K61" s="4">
        <f t="shared" si="6"/>
        <v>1838.0902777777776</v>
      </c>
      <c r="L61" s="4">
        <f t="shared" si="7"/>
        <v>738.17129629629619</v>
      </c>
      <c r="M61" s="4">
        <f t="shared" si="1"/>
        <v>2576.2615740740739</v>
      </c>
      <c r="N61" s="5">
        <f t="shared" si="2"/>
        <v>5.363831551200017E-2</v>
      </c>
      <c r="O61" s="7">
        <v>60.071103930613717</v>
      </c>
      <c r="P61" s="7">
        <v>20.62658957079994</v>
      </c>
      <c r="Q61" s="3">
        <v>22619.999999999891</v>
      </c>
      <c r="R61" s="3">
        <v>4119.9999999994361</v>
      </c>
      <c r="S61" s="3">
        <v>113.20000000000277</v>
      </c>
      <c r="T61" s="3">
        <f t="shared" si="8"/>
        <v>26853.199999999331</v>
      </c>
      <c r="U61" s="6">
        <f t="shared" si="9"/>
        <v>9.6171424927190705E-2</v>
      </c>
      <c r="V61" s="6">
        <f t="shared" si="10"/>
        <v>1.7516634425286181E-2</v>
      </c>
      <c r="W61" s="6">
        <f t="shared" si="11"/>
        <v>4.812822856657077E-4</v>
      </c>
      <c r="X61" s="6">
        <f t="shared" si="12"/>
        <v>0.1141693416381426</v>
      </c>
      <c r="Y61" s="6">
        <f t="shared" si="13"/>
        <v>0.12414507292942527</v>
      </c>
    </row>
    <row r="62" spans="1:25" x14ac:dyDescent="0.35">
      <c r="A62" s="2">
        <v>45107</v>
      </c>
      <c r="B62" s="3">
        <v>215920</v>
      </c>
      <c r="C62" s="3">
        <v>23400</v>
      </c>
      <c r="D62" s="3">
        <f t="shared" si="3"/>
        <v>239320</v>
      </c>
      <c r="E62" s="4">
        <f t="shared" si="4"/>
        <v>2499.0740740740739</v>
      </c>
      <c r="F62" s="4">
        <f t="shared" si="4"/>
        <v>270.83333333333331</v>
      </c>
      <c r="G62" s="4">
        <f t="shared" si="5"/>
        <v>2769.9074074074074</v>
      </c>
      <c r="H62" s="3">
        <v>160152</v>
      </c>
      <c r="I62" s="3">
        <v>64422</v>
      </c>
      <c r="J62" s="4">
        <f t="shared" si="0"/>
        <v>224574</v>
      </c>
      <c r="K62" s="4">
        <f t="shared" si="6"/>
        <v>1853.6111111111111</v>
      </c>
      <c r="L62" s="4">
        <f t="shared" si="7"/>
        <v>745.625</v>
      </c>
      <c r="M62" s="4">
        <f t="shared" si="1"/>
        <v>2599.2361111111113</v>
      </c>
      <c r="N62" s="5">
        <f t="shared" si="2"/>
        <v>6.1616246030419521E-2</v>
      </c>
      <c r="O62" s="7">
        <v>49.288333611900384</v>
      </c>
      <c r="P62" s="7">
        <v>15.23351161624603</v>
      </c>
      <c r="Q62" s="3">
        <v>23129.999999998745</v>
      </c>
      <c r="R62" s="3">
        <v>4519.9999999999818</v>
      </c>
      <c r="S62" s="3">
        <v>140.80000000000155</v>
      </c>
      <c r="T62" s="3">
        <f t="shared" si="8"/>
        <v>27790.79999999873</v>
      </c>
      <c r="U62" s="6">
        <f t="shared" si="9"/>
        <v>9.6648838375391719E-2</v>
      </c>
      <c r="V62" s="6">
        <f t="shared" si="10"/>
        <v>1.8886846063847492E-2</v>
      </c>
      <c r="W62" s="6">
        <f t="shared" si="11"/>
        <v>5.8833361190039084E-4</v>
      </c>
      <c r="X62" s="6">
        <f t="shared" si="12"/>
        <v>0.1161240180511396</v>
      </c>
      <c r="Y62" s="6">
        <f t="shared" si="13"/>
        <v>0.12870878103000524</v>
      </c>
    </row>
    <row r="63" spans="1:25" x14ac:dyDescent="0.35">
      <c r="A63" s="2">
        <v>45108</v>
      </c>
      <c r="B63" s="3">
        <v>215869</v>
      </c>
      <c r="C63" s="3">
        <v>19800</v>
      </c>
      <c r="D63" s="3">
        <f t="shared" si="3"/>
        <v>235669</v>
      </c>
      <c r="E63" s="4">
        <f t="shared" si="4"/>
        <v>2498.4837962962961</v>
      </c>
      <c r="F63" s="4">
        <f t="shared" si="4"/>
        <v>229.16666666666666</v>
      </c>
      <c r="G63" s="4">
        <f t="shared" si="5"/>
        <v>2727.6504629629626</v>
      </c>
      <c r="H63" s="3">
        <v>160194</v>
      </c>
      <c r="I63" s="3">
        <v>64035</v>
      </c>
      <c r="J63" s="4">
        <f t="shared" si="0"/>
        <v>224229</v>
      </c>
      <c r="K63" s="4">
        <f t="shared" si="6"/>
        <v>1854.0972222222222</v>
      </c>
      <c r="L63" s="4">
        <f t="shared" si="7"/>
        <v>741.14583333333326</v>
      </c>
      <c r="M63" s="4">
        <f t="shared" si="1"/>
        <v>2595.2430555555557</v>
      </c>
      <c r="N63" s="5">
        <f t="shared" si="2"/>
        <v>4.8542659407898363E-2</v>
      </c>
      <c r="O63" s="7">
        <v>52.490077184525752</v>
      </c>
      <c r="P63" s="7">
        <v>14.292860784518412</v>
      </c>
      <c r="Q63" s="3">
        <v>23250.000000001364</v>
      </c>
      <c r="R63" s="3">
        <v>4659.9999999993997</v>
      </c>
      <c r="S63" s="3">
        <v>131.19999999999209</v>
      </c>
      <c r="T63" s="3">
        <f t="shared" si="8"/>
        <v>28041.200000000757</v>
      </c>
      <c r="U63" s="6">
        <f t="shared" si="9"/>
        <v>9.8655317415533503E-2</v>
      </c>
      <c r="V63" s="6">
        <f t="shared" si="10"/>
        <v>1.9773495877690318E-2</v>
      </c>
      <c r="W63" s="6">
        <f t="shared" si="11"/>
        <v>5.5671301698565401E-4</v>
      </c>
      <c r="X63" s="6">
        <f t="shared" si="12"/>
        <v>0.11898552631020948</v>
      </c>
      <c r="Y63" s="6">
        <f t="shared" si="13"/>
        <v>0.12989915180040096</v>
      </c>
    </row>
    <row r="64" spans="1:25" x14ac:dyDescent="0.35">
      <c r="A64" s="2">
        <v>45109</v>
      </c>
      <c r="B64" s="3">
        <v>215584</v>
      </c>
      <c r="C64" s="3">
        <v>22500.000000000004</v>
      </c>
      <c r="D64" s="3">
        <f t="shared" si="3"/>
        <v>238084</v>
      </c>
      <c r="E64" s="4">
        <f t="shared" si="4"/>
        <v>2495.1851851851852</v>
      </c>
      <c r="F64" s="4">
        <f t="shared" si="4"/>
        <v>260.41666666666669</v>
      </c>
      <c r="G64" s="4">
        <f t="shared" si="5"/>
        <v>2755.6018518518517</v>
      </c>
      <c r="H64" s="3">
        <v>159752</v>
      </c>
      <c r="I64" s="3">
        <v>64314</v>
      </c>
      <c r="J64" s="4">
        <f t="shared" si="0"/>
        <v>224066</v>
      </c>
      <c r="K64" s="4">
        <f t="shared" si="6"/>
        <v>1848.9814814814813</v>
      </c>
      <c r="L64" s="4">
        <f t="shared" si="7"/>
        <v>744.375</v>
      </c>
      <c r="M64" s="4">
        <f t="shared" si="1"/>
        <v>2593.3564814814813</v>
      </c>
      <c r="N64" s="5">
        <f t="shared" si="2"/>
        <v>5.8878379059491608E-2</v>
      </c>
      <c r="O64" s="7">
        <v>46.368760605500583</v>
      </c>
      <c r="P64" s="7">
        <v>17.001235697492465</v>
      </c>
      <c r="Q64" s="3">
        <v>23399.999999999181</v>
      </c>
      <c r="R64" s="3">
        <v>4820.0000000006185</v>
      </c>
      <c r="S64" s="3">
        <v>126.40000000000214</v>
      </c>
      <c r="T64" s="3">
        <f t="shared" si="8"/>
        <v>28346.399999999801</v>
      </c>
      <c r="U64" s="6">
        <f t="shared" si="9"/>
        <v>9.8284639034959015E-2</v>
      </c>
      <c r="V64" s="6">
        <f t="shared" si="10"/>
        <v>2.0244955561905118E-2</v>
      </c>
      <c r="W64" s="6">
        <f t="shared" si="11"/>
        <v>5.3090505871878052E-4</v>
      </c>
      <c r="X64" s="6">
        <f t="shared" si="12"/>
        <v>0.11906049965558291</v>
      </c>
      <c r="Y64" s="6">
        <f t="shared" si="13"/>
        <v>0.13148656672109155</v>
      </c>
    </row>
    <row r="65" spans="1:25" x14ac:dyDescent="0.35">
      <c r="A65" s="2">
        <v>45110</v>
      </c>
      <c r="B65" s="3">
        <v>215587</v>
      </c>
      <c r="C65" s="3">
        <v>24300</v>
      </c>
      <c r="D65" s="3">
        <f t="shared" si="3"/>
        <v>239887</v>
      </c>
      <c r="E65" s="4">
        <f t="shared" si="4"/>
        <v>2495.2199074074074</v>
      </c>
      <c r="F65" s="4">
        <f t="shared" si="4"/>
        <v>281.25</v>
      </c>
      <c r="G65" s="4">
        <f t="shared" si="5"/>
        <v>2776.4699074074074</v>
      </c>
      <c r="H65" s="3">
        <v>161738</v>
      </c>
      <c r="I65" s="3">
        <v>66937</v>
      </c>
      <c r="J65" s="4">
        <f t="shared" si="0"/>
        <v>228675</v>
      </c>
      <c r="K65" s="4">
        <f t="shared" si="6"/>
        <v>1871.9675925925924</v>
      </c>
      <c r="L65" s="4">
        <f t="shared" si="7"/>
        <v>774.73379629629619</v>
      </c>
      <c r="M65" s="4">
        <f t="shared" si="1"/>
        <v>2646.7013888888887</v>
      </c>
      <c r="N65" s="5">
        <f t="shared" si="2"/>
        <v>4.6738672791772795E-2</v>
      </c>
      <c r="O65" s="7">
        <v>48.78638692384331</v>
      </c>
      <c r="P65" s="7">
        <v>15.315904173362778</v>
      </c>
      <c r="Q65" s="3">
        <v>24449.999999998909</v>
      </c>
      <c r="R65" s="3">
        <v>5540.0000000004184</v>
      </c>
      <c r="S65" s="3">
        <v>123.19999999999823</v>
      </c>
      <c r="T65" s="3">
        <f t="shared" si="8"/>
        <v>30113.199999999324</v>
      </c>
      <c r="U65" s="6">
        <f t="shared" si="9"/>
        <v>0.10192298874052745</v>
      </c>
      <c r="V65" s="6">
        <f t="shared" si="10"/>
        <v>2.3094206855729649E-2</v>
      </c>
      <c r="W65" s="6">
        <f t="shared" si="11"/>
        <v>5.1357514162917632E-4</v>
      </c>
      <c r="X65" s="6">
        <f t="shared" si="12"/>
        <v>0.12553077073788627</v>
      </c>
      <c r="Y65" s="6">
        <f t="shared" si="13"/>
        <v>0.13968003636582596</v>
      </c>
    </row>
    <row r="66" spans="1:25" x14ac:dyDescent="0.35">
      <c r="A66" s="2">
        <v>45111</v>
      </c>
      <c r="B66" s="3">
        <v>214166</v>
      </c>
      <c r="C66" s="3">
        <v>37800</v>
      </c>
      <c r="D66" s="3">
        <f t="shared" si="3"/>
        <v>251966</v>
      </c>
      <c r="E66" s="4">
        <f t="shared" si="4"/>
        <v>2478.7731481481478</v>
      </c>
      <c r="F66" s="4">
        <f t="shared" si="4"/>
        <v>437.49999999999994</v>
      </c>
      <c r="G66" s="4">
        <f t="shared" si="5"/>
        <v>2916.2731481481478</v>
      </c>
      <c r="H66" s="3">
        <v>161595</v>
      </c>
      <c r="I66" s="3">
        <v>67100</v>
      </c>
      <c r="J66" s="4">
        <f t="shared" si="0"/>
        <v>228695</v>
      </c>
      <c r="K66" s="4">
        <f t="shared" si="6"/>
        <v>1870.3124999999998</v>
      </c>
      <c r="L66" s="4">
        <f t="shared" si="7"/>
        <v>776.62037037037032</v>
      </c>
      <c r="M66" s="4">
        <f t="shared" si="1"/>
        <v>2646.93287037037</v>
      </c>
      <c r="N66" s="5">
        <f t="shared" si="2"/>
        <v>9.2357699054634354E-2</v>
      </c>
      <c r="O66" s="7">
        <v>48.317915909289347</v>
      </c>
      <c r="P66" s="7">
        <v>16.244300418469706</v>
      </c>
      <c r="Q66" s="3">
        <v>24750</v>
      </c>
      <c r="R66" s="3">
        <v>7119.9999999989814</v>
      </c>
      <c r="S66" s="3">
        <v>91.200000000003456</v>
      </c>
      <c r="T66" s="3">
        <f t="shared" si="8"/>
        <v>31961.199999998986</v>
      </c>
      <c r="U66" s="6">
        <f t="shared" si="9"/>
        <v>9.8227538636165193E-2</v>
      </c>
      <c r="V66" s="6">
        <f t="shared" si="10"/>
        <v>2.8257780811692775E-2</v>
      </c>
      <c r="W66" s="6">
        <f t="shared" si="11"/>
        <v>3.6195359691388305E-4</v>
      </c>
      <c r="X66" s="6">
        <f t="shared" si="12"/>
        <v>0.12684727304477186</v>
      </c>
      <c r="Y66" s="6">
        <f t="shared" si="13"/>
        <v>0.14923563964400971</v>
      </c>
    </row>
    <row r="67" spans="1:25" x14ac:dyDescent="0.35">
      <c r="A67" s="2">
        <v>45112</v>
      </c>
      <c r="B67" s="3">
        <v>214491</v>
      </c>
      <c r="C67" s="3">
        <v>30600</v>
      </c>
      <c r="D67" s="3">
        <f t="shared" si="3"/>
        <v>245091</v>
      </c>
      <c r="E67" s="4">
        <f t="shared" si="4"/>
        <v>2482.5347222222222</v>
      </c>
      <c r="F67" s="4">
        <f t="shared" si="4"/>
        <v>354.16666666666663</v>
      </c>
      <c r="G67" s="4">
        <f t="shared" si="5"/>
        <v>2836.7013888888887</v>
      </c>
      <c r="H67" s="3">
        <v>161802</v>
      </c>
      <c r="I67" s="3">
        <v>67180</v>
      </c>
      <c r="J67" s="4">
        <f t="shared" ref="J67:J130" si="14">SUM(H67:I67)</f>
        <v>228982</v>
      </c>
      <c r="K67" s="4">
        <f t="shared" si="6"/>
        <v>1872.7083333333333</v>
      </c>
      <c r="L67" s="4">
        <f t="shared" si="7"/>
        <v>777.54629629629619</v>
      </c>
      <c r="M67" s="4">
        <f t="shared" ref="M67:M130" si="15">SUM(K67:L67)</f>
        <v>2650.2546296296296</v>
      </c>
      <c r="N67" s="5">
        <f t="shared" ref="N67:N130" si="16">(D67-J67)/D67</f>
        <v>6.5726607668172232E-2</v>
      </c>
      <c r="O67" s="7">
        <v>51.104642765340223</v>
      </c>
      <c r="P67" s="7">
        <v>16.907849527760188</v>
      </c>
      <c r="Q67" s="3">
        <v>23940.000000001419</v>
      </c>
      <c r="R67" s="3">
        <v>5820.0000000006185</v>
      </c>
      <c r="S67" s="3">
        <v>134.40000000000282</v>
      </c>
      <c r="T67" s="3">
        <f t="shared" si="8"/>
        <v>29894.400000002039</v>
      </c>
      <c r="U67" s="6">
        <f t="shared" si="9"/>
        <v>9.7678005312318364E-2</v>
      </c>
      <c r="V67" s="6">
        <f t="shared" si="10"/>
        <v>2.3746281993221367E-2</v>
      </c>
      <c r="W67" s="6">
        <f t="shared" si="11"/>
        <v>5.4836774912176626E-4</v>
      </c>
      <c r="X67" s="6">
        <f t="shared" si="12"/>
        <v>0.12197265505466148</v>
      </c>
      <c r="Y67" s="6">
        <f t="shared" si="13"/>
        <v>0.13937368001455558</v>
      </c>
    </row>
    <row r="68" spans="1:25" x14ac:dyDescent="0.35">
      <c r="A68" s="2">
        <v>45113</v>
      </c>
      <c r="B68" s="3">
        <v>214383</v>
      </c>
      <c r="C68" s="3">
        <v>28800</v>
      </c>
      <c r="D68" s="3">
        <f t="shared" ref="D68:D131" si="17">SUM(B68:C68)</f>
        <v>243183</v>
      </c>
      <c r="E68" s="4">
        <f t="shared" ref="E68:F131" si="18">B68/86.4</f>
        <v>2481.2847222222222</v>
      </c>
      <c r="F68" s="4">
        <f t="shared" si="18"/>
        <v>333.33333333333331</v>
      </c>
      <c r="G68" s="4">
        <f t="shared" ref="G68:G131" si="19">SUM(E68:F68)</f>
        <v>2814.6180555555557</v>
      </c>
      <c r="H68" s="3">
        <v>161699</v>
      </c>
      <c r="I68" s="3">
        <v>67081</v>
      </c>
      <c r="J68" s="4">
        <f t="shared" si="14"/>
        <v>228780</v>
      </c>
      <c r="K68" s="4">
        <f t="shared" ref="K68:K131" si="20">H68/86.4</f>
        <v>1871.5162037037035</v>
      </c>
      <c r="L68" s="4">
        <f t="shared" ref="L68:L131" si="21">I68/86.4</f>
        <v>776.40046296296293</v>
      </c>
      <c r="M68" s="4">
        <f t="shared" si="15"/>
        <v>2647.9166666666665</v>
      </c>
      <c r="N68" s="5">
        <f t="shared" si="16"/>
        <v>5.9227001887467462E-2</v>
      </c>
      <c r="O68" s="7">
        <v>46.848702417520961</v>
      </c>
      <c r="P68" s="7">
        <v>17.343139519191627</v>
      </c>
      <c r="Q68" s="3">
        <v>23760.000000000218</v>
      </c>
      <c r="R68" s="3">
        <v>6119.9999999994361</v>
      </c>
      <c r="S68" s="3">
        <v>109.99999999999318</v>
      </c>
      <c r="T68" s="3">
        <f t="shared" si="8"/>
        <v>29989.999999999647</v>
      </c>
      <c r="U68" s="6">
        <f t="shared" si="9"/>
        <v>9.7704198073056997E-2</v>
      </c>
      <c r="V68" s="6">
        <f t="shared" si="10"/>
        <v>2.5166232836996979E-2</v>
      </c>
      <c r="W68" s="6">
        <f t="shared" si="11"/>
        <v>4.523342503381946E-4</v>
      </c>
      <c r="X68" s="6">
        <f t="shared" si="12"/>
        <v>0.12332276516039216</v>
      </c>
      <c r="Y68" s="6">
        <f t="shared" si="13"/>
        <v>0.13988982335352917</v>
      </c>
    </row>
    <row r="69" spans="1:25" x14ac:dyDescent="0.35">
      <c r="A69" s="2">
        <v>45114</v>
      </c>
      <c r="B69" s="3">
        <v>214854</v>
      </c>
      <c r="C69" s="3">
        <v>27900</v>
      </c>
      <c r="D69" s="3">
        <f t="shared" si="17"/>
        <v>242754</v>
      </c>
      <c r="E69" s="4">
        <f t="shared" si="18"/>
        <v>2486.7361111111109</v>
      </c>
      <c r="F69" s="4">
        <f t="shared" si="18"/>
        <v>322.91666666666663</v>
      </c>
      <c r="G69" s="4">
        <f t="shared" si="19"/>
        <v>2809.6527777777774</v>
      </c>
      <c r="H69" s="3">
        <v>161547</v>
      </c>
      <c r="I69" s="3">
        <v>66927</v>
      </c>
      <c r="J69" s="4">
        <f t="shared" si="14"/>
        <v>228474</v>
      </c>
      <c r="K69" s="4">
        <f t="shared" si="20"/>
        <v>1869.7569444444443</v>
      </c>
      <c r="L69" s="4">
        <f t="shared" si="21"/>
        <v>774.61805555555554</v>
      </c>
      <c r="M69" s="4">
        <f t="shared" si="15"/>
        <v>2644.375</v>
      </c>
      <c r="N69" s="5">
        <f t="shared" si="16"/>
        <v>5.8824983316443806E-2</v>
      </c>
      <c r="O69" s="7">
        <v>46.886691877373799</v>
      </c>
      <c r="P69" s="7">
        <v>18.236647985606453</v>
      </c>
      <c r="Q69" s="3">
        <v>23670.000000000982</v>
      </c>
      <c r="R69" s="3">
        <v>5300.0000000015461</v>
      </c>
      <c r="S69" s="3">
        <v>97.600000000002183</v>
      </c>
      <c r="T69" s="3">
        <f t="shared" ref="T69:T132" si="22">SUM(Q69:S69)</f>
        <v>29067.600000002531</v>
      </c>
      <c r="U69" s="6">
        <f t="shared" ref="U69:U132" si="23">Q69/$D69</f>
        <v>9.7506117303941361E-2</v>
      </c>
      <c r="V69" s="6">
        <f t="shared" ref="V69:V132" si="24">R69/$D69</f>
        <v>2.183280193117949E-2</v>
      </c>
      <c r="W69" s="6">
        <f t="shared" ref="W69:W132" si="25">S69/$D69</f>
        <v>4.020531072608574E-4</v>
      </c>
      <c r="X69" s="6">
        <f t="shared" ref="X69:X132" si="26">T69/$D69</f>
        <v>0.11974097234238171</v>
      </c>
      <c r="Y69" s="6">
        <f t="shared" ref="Y69:Y132" si="27">T69/B69</f>
        <v>0.13529001089112855</v>
      </c>
    </row>
    <row r="70" spans="1:25" x14ac:dyDescent="0.35">
      <c r="A70" s="2">
        <v>45115</v>
      </c>
      <c r="B70" s="3">
        <v>215311</v>
      </c>
      <c r="C70" s="3">
        <v>25200</v>
      </c>
      <c r="D70" s="3">
        <f t="shared" si="17"/>
        <v>240511</v>
      </c>
      <c r="E70" s="4">
        <f t="shared" si="18"/>
        <v>2492.0254629629626</v>
      </c>
      <c r="F70" s="4">
        <f t="shared" si="18"/>
        <v>291.66666666666663</v>
      </c>
      <c r="G70" s="4">
        <f t="shared" si="19"/>
        <v>2783.6921296296291</v>
      </c>
      <c r="H70" s="3">
        <v>159972</v>
      </c>
      <c r="I70" s="3">
        <v>64385</v>
      </c>
      <c r="J70" s="4">
        <f t="shared" si="14"/>
        <v>224357</v>
      </c>
      <c r="K70" s="4">
        <f t="shared" si="20"/>
        <v>1851.5277777777776</v>
      </c>
      <c r="L70" s="4">
        <f t="shared" si="21"/>
        <v>745.19675925925924</v>
      </c>
      <c r="M70" s="4">
        <f t="shared" si="15"/>
        <v>2596.724537037037</v>
      </c>
      <c r="N70" s="5">
        <f t="shared" si="16"/>
        <v>6.7165327157593629E-2</v>
      </c>
      <c r="O70" s="7">
        <v>45.513178191434072</v>
      </c>
      <c r="P70" s="7">
        <v>20.572219310712772</v>
      </c>
      <c r="Q70" s="3">
        <v>22769.999999997708</v>
      </c>
      <c r="R70" s="3">
        <v>5079.9999999990177</v>
      </c>
      <c r="S70" s="3">
        <v>85.600000000001728</v>
      </c>
      <c r="T70" s="3">
        <f t="shared" si="22"/>
        <v>27935.599999996728</v>
      </c>
      <c r="U70" s="6">
        <f t="shared" si="23"/>
        <v>9.4673424500325176E-2</v>
      </c>
      <c r="V70" s="6">
        <f t="shared" si="24"/>
        <v>2.1121695057602429E-2</v>
      </c>
      <c r="W70" s="6">
        <f t="shared" si="25"/>
        <v>3.5590887734865238E-4</v>
      </c>
      <c r="X70" s="6">
        <f t="shared" si="26"/>
        <v>0.11615102843527626</v>
      </c>
      <c r="Y70" s="6">
        <f t="shared" si="27"/>
        <v>0.12974534510543692</v>
      </c>
    </row>
    <row r="71" spans="1:25" x14ac:dyDescent="0.35">
      <c r="A71" s="2">
        <v>45116</v>
      </c>
      <c r="B71" s="3">
        <v>215264</v>
      </c>
      <c r="C71" s="3">
        <v>22824</v>
      </c>
      <c r="D71" s="3">
        <f t="shared" si="17"/>
        <v>238088</v>
      </c>
      <c r="E71" s="4">
        <f t="shared" si="18"/>
        <v>2491.4814814814813</v>
      </c>
      <c r="F71" s="4">
        <f t="shared" si="18"/>
        <v>264.16666666666663</v>
      </c>
      <c r="G71" s="4">
        <f t="shared" si="19"/>
        <v>2755.6481481481478</v>
      </c>
      <c r="H71" s="3">
        <v>159976</v>
      </c>
      <c r="I71" s="3">
        <v>64072</v>
      </c>
      <c r="J71" s="4">
        <f t="shared" si="14"/>
        <v>224048</v>
      </c>
      <c r="K71" s="4">
        <f t="shared" si="20"/>
        <v>1851.5740740740739</v>
      </c>
      <c r="L71" s="4">
        <f t="shared" si="21"/>
        <v>741.57407407407402</v>
      </c>
      <c r="M71" s="4">
        <f t="shared" si="15"/>
        <v>2593.1481481481478</v>
      </c>
      <c r="N71" s="5">
        <f t="shared" si="16"/>
        <v>5.8969792681697525E-2</v>
      </c>
      <c r="O71" s="7">
        <v>46.493649406941969</v>
      </c>
      <c r="P71" s="7">
        <v>20.020699240975908</v>
      </c>
      <c r="Q71" s="3">
        <v>23159.9999999994</v>
      </c>
      <c r="R71" s="3">
        <v>4899.9999999996362</v>
      </c>
      <c r="S71" s="3">
        <v>89.199999999999591</v>
      </c>
      <c r="T71" s="3">
        <f t="shared" si="22"/>
        <v>28149.199999999037</v>
      </c>
      <c r="U71" s="6">
        <f t="shared" si="23"/>
        <v>9.7274957158695108E-2</v>
      </c>
      <c r="V71" s="6">
        <f t="shared" si="24"/>
        <v>2.0580625651018262E-2</v>
      </c>
      <c r="W71" s="6">
        <f t="shared" si="25"/>
        <v>3.7465138940223608E-4</v>
      </c>
      <c r="X71" s="6">
        <f t="shared" si="26"/>
        <v>0.1182302341991156</v>
      </c>
      <c r="Y71" s="6">
        <f t="shared" si="27"/>
        <v>0.13076594321390961</v>
      </c>
    </row>
    <row r="72" spans="1:25" x14ac:dyDescent="0.35">
      <c r="A72" s="2">
        <v>45117</v>
      </c>
      <c r="B72" s="3">
        <v>215404</v>
      </c>
      <c r="C72" s="3">
        <v>26100</v>
      </c>
      <c r="D72" s="3">
        <f t="shared" si="17"/>
        <v>241504</v>
      </c>
      <c r="E72" s="4">
        <f t="shared" si="18"/>
        <v>2493.1018518518517</v>
      </c>
      <c r="F72" s="4">
        <f t="shared" si="18"/>
        <v>302.08333333333331</v>
      </c>
      <c r="G72" s="4">
        <f t="shared" si="19"/>
        <v>2795.1851851851852</v>
      </c>
      <c r="H72" s="3">
        <v>161409</v>
      </c>
      <c r="I72" s="3">
        <v>66789</v>
      </c>
      <c r="J72" s="4">
        <f t="shared" si="14"/>
        <v>228198</v>
      </c>
      <c r="K72" s="4">
        <f t="shared" si="20"/>
        <v>1868.1597222222222</v>
      </c>
      <c r="L72" s="4">
        <f t="shared" si="21"/>
        <v>773.02083333333326</v>
      </c>
      <c r="M72" s="4">
        <f t="shared" si="15"/>
        <v>2641.1805555555557</v>
      </c>
      <c r="N72" s="5">
        <f t="shared" si="16"/>
        <v>5.5096395918908178E-2</v>
      </c>
      <c r="O72" s="7">
        <v>47.898320524711806</v>
      </c>
      <c r="P72" s="7">
        <v>21.284633530922019</v>
      </c>
      <c r="Q72" s="3">
        <v>23700.000000001637</v>
      </c>
      <c r="R72" s="3">
        <v>5620.0000000003456</v>
      </c>
      <c r="S72" s="3">
        <v>119.6000000000015</v>
      </c>
      <c r="T72" s="3">
        <f t="shared" si="22"/>
        <v>29439.600000001985</v>
      </c>
      <c r="U72" s="6">
        <f t="shared" si="23"/>
        <v>9.8135020537968881E-2</v>
      </c>
      <c r="V72" s="6">
        <f t="shared" si="24"/>
        <v>2.3270836093813543E-2</v>
      </c>
      <c r="W72" s="6">
        <f t="shared" si="25"/>
        <v>4.9522989267259136E-4</v>
      </c>
      <c r="X72" s="6">
        <f t="shared" si="26"/>
        <v>0.12190108652445501</v>
      </c>
      <c r="Y72" s="6">
        <f t="shared" si="27"/>
        <v>0.1366715567027631</v>
      </c>
    </row>
    <row r="73" spans="1:25" x14ac:dyDescent="0.35">
      <c r="A73" s="2">
        <v>45118</v>
      </c>
      <c r="B73" s="3">
        <v>215765</v>
      </c>
      <c r="C73" s="3">
        <v>26100</v>
      </c>
      <c r="D73" s="3">
        <f t="shared" si="17"/>
        <v>241865</v>
      </c>
      <c r="E73" s="4">
        <f t="shared" si="18"/>
        <v>2497.2800925925926</v>
      </c>
      <c r="F73" s="4">
        <f t="shared" si="18"/>
        <v>302.08333333333331</v>
      </c>
      <c r="G73" s="4">
        <f t="shared" si="19"/>
        <v>2799.3634259259261</v>
      </c>
      <c r="H73" s="3">
        <v>161672</v>
      </c>
      <c r="I73" s="3">
        <v>67269</v>
      </c>
      <c r="J73" s="4">
        <f t="shared" si="14"/>
        <v>228941</v>
      </c>
      <c r="K73" s="4">
        <f t="shared" si="20"/>
        <v>1871.2037037037035</v>
      </c>
      <c r="L73" s="4">
        <f t="shared" si="21"/>
        <v>778.5763888888888</v>
      </c>
      <c r="M73" s="4">
        <f t="shared" si="15"/>
        <v>2649.7800925925922</v>
      </c>
      <c r="N73" s="5">
        <f t="shared" si="16"/>
        <v>5.3434767328881812E-2</v>
      </c>
      <c r="O73" s="7">
        <v>49.730254480805407</v>
      </c>
      <c r="P73" s="7">
        <v>21.299677241896834</v>
      </c>
      <c r="Q73" s="3">
        <v>23819.999999998799</v>
      </c>
      <c r="R73" s="3">
        <v>5539.9999999990541</v>
      </c>
      <c r="S73" s="3">
        <v>124.40000000000168</v>
      </c>
      <c r="T73" s="3">
        <f t="shared" si="22"/>
        <v>29484.399999997855</v>
      </c>
      <c r="U73" s="6">
        <f t="shared" si="23"/>
        <v>9.8484691873560862E-2</v>
      </c>
      <c r="V73" s="6">
        <f t="shared" si="24"/>
        <v>2.2905339755644901E-2</v>
      </c>
      <c r="W73" s="6">
        <f t="shared" si="25"/>
        <v>5.1433651003659759E-4</v>
      </c>
      <c r="X73" s="6">
        <f t="shared" si="26"/>
        <v>0.12190436813924237</v>
      </c>
      <c r="Y73" s="6">
        <f t="shared" si="27"/>
        <v>0.13665052255925592</v>
      </c>
    </row>
    <row r="74" spans="1:25" x14ac:dyDescent="0.35">
      <c r="A74" s="2">
        <v>45119</v>
      </c>
      <c r="B74" s="3">
        <v>215660</v>
      </c>
      <c r="C74" s="3">
        <v>26100</v>
      </c>
      <c r="D74" s="3">
        <f t="shared" si="17"/>
        <v>241760</v>
      </c>
      <c r="E74" s="4">
        <f t="shared" si="18"/>
        <v>2496.0648148148148</v>
      </c>
      <c r="F74" s="4">
        <f t="shared" si="18"/>
        <v>302.08333333333331</v>
      </c>
      <c r="G74" s="4">
        <f t="shared" si="19"/>
        <v>2798.1481481481483</v>
      </c>
      <c r="H74" s="3">
        <v>161704</v>
      </c>
      <c r="I74" s="3">
        <v>67167</v>
      </c>
      <c r="J74" s="4">
        <f t="shared" si="14"/>
        <v>228871</v>
      </c>
      <c r="K74" s="4">
        <f t="shared" si="20"/>
        <v>1871.5740740740739</v>
      </c>
      <c r="L74" s="4">
        <f t="shared" si="21"/>
        <v>777.39583333333326</v>
      </c>
      <c r="M74" s="4">
        <f t="shared" si="15"/>
        <v>2648.9699074074069</v>
      </c>
      <c r="N74" s="5">
        <f t="shared" si="16"/>
        <v>5.3313203176704169E-2</v>
      </c>
      <c r="O74" s="7">
        <v>44.333156849768365</v>
      </c>
      <c r="P74" s="7">
        <v>20.606435879457294</v>
      </c>
      <c r="Q74" s="3">
        <v>23970.000000000709</v>
      </c>
      <c r="R74" s="3">
        <v>5740.0000000016007</v>
      </c>
      <c r="S74" s="3">
        <v>133.19999999999936</v>
      </c>
      <c r="T74" s="3">
        <f t="shared" si="22"/>
        <v>29843.200000002311</v>
      </c>
      <c r="U74" s="6">
        <f t="shared" si="23"/>
        <v>9.9147915287891755E-2</v>
      </c>
      <c r="V74" s="6">
        <f t="shared" si="24"/>
        <v>2.3742554599609535E-2</v>
      </c>
      <c r="W74" s="6">
        <f t="shared" si="25"/>
        <v>5.5095962938451093E-4</v>
      </c>
      <c r="X74" s="6">
        <f t="shared" si="26"/>
        <v>0.1234414295168858</v>
      </c>
      <c r="Y74" s="6">
        <f t="shared" si="27"/>
        <v>0.13838078456831268</v>
      </c>
    </row>
    <row r="75" spans="1:25" x14ac:dyDescent="0.35">
      <c r="A75" s="2">
        <v>45120</v>
      </c>
      <c r="B75" s="3">
        <v>215164</v>
      </c>
      <c r="C75" s="3">
        <v>26100</v>
      </c>
      <c r="D75" s="3">
        <f t="shared" si="17"/>
        <v>241264</v>
      </c>
      <c r="E75" s="4">
        <f t="shared" si="18"/>
        <v>2490.3240740740739</v>
      </c>
      <c r="F75" s="4">
        <f t="shared" si="18"/>
        <v>302.08333333333331</v>
      </c>
      <c r="G75" s="4">
        <f t="shared" si="19"/>
        <v>2792.4074074074074</v>
      </c>
      <c r="H75" s="3">
        <v>161830</v>
      </c>
      <c r="I75" s="3">
        <v>66960</v>
      </c>
      <c r="J75" s="4">
        <f t="shared" si="14"/>
        <v>228790</v>
      </c>
      <c r="K75" s="4">
        <f t="shared" si="20"/>
        <v>1873.0324074074074</v>
      </c>
      <c r="L75" s="4">
        <f t="shared" si="21"/>
        <v>775</v>
      </c>
      <c r="M75" s="4">
        <f t="shared" si="15"/>
        <v>2648.0324074074074</v>
      </c>
      <c r="N75" s="5">
        <f t="shared" si="16"/>
        <v>5.1702699117978645E-2</v>
      </c>
      <c r="O75" s="7">
        <v>46.638404403475029</v>
      </c>
      <c r="P75" s="7">
        <v>21.704703913796784</v>
      </c>
      <c r="Q75" s="3">
        <v>23969.999999999345</v>
      </c>
      <c r="R75" s="3">
        <v>5799.9999999988177</v>
      </c>
      <c r="S75" s="3">
        <v>141.59999999999741</v>
      </c>
      <c r="T75" s="3">
        <f t="shared" si="22"/>
        <v>29911.599999998161</v>
      </c>
      <c r="U75" s="6">
        <f t="shared" si="23"/>
        <v>9.9351747463356926E-2</v>
      </c>
      <c r="V75" s="6">
        <f t="shared" si="24"/>
        <v>2.4040055706606944E-2</v>
      </c>
      <c r="W75" s="6">
        <f t="shared" si="25"/>
        <v>5.8690894621658189E-4</v>
      </c>
      <c r="X75" s="6">
        <f t="shared" si="26"/>
        <v>0.12397871211618046</v>
      </c>
      <c r="Y75" s="6">
        <f t="shared" si="27"/>
        <v>0.13901767953746055</v>
      </c>
    </row>
    <row r="76" spans="1:25" x14ac:dyDescent="0.35">
      <c r="A76" s="2">
        <v>45121</v>
      </c>
      <c r="B76" s="3">
        <v>214768</v>
      </c>
      <c r="C76" s="3">
        <v>24300</v>
      </c>
      <c r="D76" s="3">
        <f t="shared" si="17"/>
        <v>239068</v>
      </c>
      <c r="E76" s="4">
        <f t="shared" si="18"/>
        <v>2485.7407407407404</v>
      </c>
      <c r="F76" s="4">
        <f t="shared" si="18"/>
        <v>281.25</v>
      </c>
      <c r="G76" s="4">
        <f t="shared" si="19"/>
        <v>2766.9907407407404</v>
      </c>
      <c r="H76" s="3">
        <v>162041</v>
      </c>
      <c r="I76" s="3">
        <v>66720</v>
      </c>
      <c r="J76" s="4">
        <f t="shared" si="14"/>
        <v>228761</v>
      </c>
      <c r="K76" s="4">
        <f t="shared" si="20"/>
        <v>1875.474537037037</v>
      </c>
      <c r="L76" s="4">
        <f t="shared" si="21"/>
        <v>772.22222222222217</v>
      </c>
      <c r="M76" s="4">
        <f t="shared" si="15"/>
        <v>2647.6967592592591</v>
      </c>
      <c r="N76" s="5">
        <f t="shared" si="16"/>
        <v>4.3113256479328059E-2</v>
      </c>
      <c r="O76" s="7">
        <v>49.814814195124399</v>
      </c>
      <c r="P76" s="7">
        <v>21.146313548048678</v>
      </c>
      <c r="Q76" s="3">
        <v>24090.0000000006</v>
      </c>
      <c r="R76" s="3">
        <v>5380.0000000014734</v>
      </c>
      <c r="S76" s="3">
        <v>118.79999999999654</v>
      </c>
      <c r="T76" s="3">
        <f t="shared" si="22"/>
        <v>29588.800000002069</v>
      </c>
      <c r="U76" s="6">
        <f t="shared" si="23"/>
        <v>0.10076630916726872</v>
      </c>
      <c r="V76" s="6">
        <f t="shared" si="24"/>
        <v>2.2504057422998783E-2</v>
      </c>
      <c r="W76" s="6">
        <f t="shared" si="25"/>
        <v>4.9692974383855869E-4</v>
      </c>
      <c r="X76" s="6">
        <f t="shared" si="26"/>
        <v>0.12376729633410606</v>
      </c>
      <c r="Y76" s="6">
        <f t="shared" si="27"/>
        <v>0.1377709900916434</v>
      </c>
    </row>
    <row r="77" spans="1:25" x14ac:dyDescent="0.35">
      <c r="A77" s="2">
        <v>45122</v>
      </c>
      <c r="B77" s="3">
        <v>215337</v>
      </c>
      <c r="C77" s="3">
        <v>22500</v>
      </c>
      <c r="D77" s="3">
        <f t="shared" si="17"/>
        <v>237837</v>
      </c>
      <c r="E77" s="4">
        <f t="shared" si="18"/>
        <v>2492.3263888888887</v>
      </c>
      <c r="F77" s="4">
        <f t="shared" si="18"/>
        <v>260.41666666666663</v>
      </c>
      <c r="G77" s="4">
        <f t="shared" si="19"/>
        <v>2752.7430555555552</v>
      </c>
      <c r="H77" s="3">
        <v>161291</v>
      </c>
      <c r="I77" s="3">
        <v>64349</v>
      </c>
      <c r="J77" s="4">
        <f t="shared" si="14"/>
        <v>225640</v>
      </c>
      <c r="K77" s="4">
        <f t="shared" si="20"/>
        <v>1866.7939814814813</v>
      </c>
      <c r="L77" s="4">
        <f t="shared" si="21"/>
        <v>744.7800925925925</v>
      </c>
      <c r="M77" s="4">
        <f t="shared" si="15"/>
        <v>2611.5740740740739</v>
      </c>
      <c r="N77" s="5">
        <f t="shared" si="16"/>
        <v>5.1283021565189602E-2</v>
      </c>
      <c r="O77" s="7">
        <v>48.179416995673506</v>
      </c>
      <c r="P77" s="7">
        <v>21.898434370637474</v>
      </c>
      <c r="Q77" s="3">
        <v>23369.999999999891</v>
      </c>
      <c r="R77" s="3">
        <v>4559.9999999981264</v>
      </c>
      <c r="S77" s="3">
        <v>132.40000000000691</v>
      </c>
      <c r="T77" s="3">
        <f t="shared" si="22"/>
        <v>28062.399999998022</v>
      </c>
      <c r="U77" s="6">
        <f t="shared" si="23"/>
        <v>9.8260573417928626E-2</v>
      </c>
      <c r="V77" s="6">
        <f t="shared" si="24"/>
        <v>1.9172794813246578E-2</v>
      </c>
      <c r="W77" s="6">
        <f t="shared" si="25"/>
        <v>5.5668377922697861E-4</v>
      </c>
      <c r="X77" s="6">
        <f t="shared" si="26"/>
        <v>0.11799005201040218</v>
      </c>
      <c r="Y77" s="6">
        <f t="shared" si="27"/>
        <v>0.13031852398797245</v>
      </c>
    </row>
    <row r="78" spans="1:25" x14ac:dyDescent="0.35">
      <c r="A78" s="2">
        <v>45123</v>
      </c>
      <c r="B78" s="3">
        <v>211251</v>
      </c>
      <c r="C78" s="3">
        <v>28800</v>
      </c>
      <c r="D78" s="3">
        <f t="shared" si="17"/>
        <v>240051</v>
      </c>
      <c r="E78" s="4">
        <f t="shared" si="18"/>
        <v>2445.0347222222222</v>
      </c>
      <c r="F78" s="4">
        <f t="shared" si="18"/>
        <v>333.33333333333331</v>
      </c>
      <c r="G78" s="4">
        <f t="shared" si="19"/>
        <v>2778.3680555555557</v>
      </c>
      <c r="H78" s="3">
        <v>160569</v>
      </c>
      <c r="I78" s="3">
        <v>64240</v>
      </c>
      <c r="J78" s="4">
        <f t="shared" si="14"/>
        <v>224809</v>
      </c>
      <c r="K78" s="4">
        <f t="shared" si="20"/>
        <v>1858.4374999999998</v>
      </c>
      <c r="L78" s="4">
        <f t="shared" si="21"/>
        <v>743.51851851851848</v>
      </c>
      <c r="M78" s="4">
        <f t="shared" si="15"/>
        <v>2601.9560185185182</v>
      </c>
      <c r="N78" s="5">
        <f t="shared" si="16"/>
        <v>6.3494840679688899E-2</v>
      </c>
      <c r="O78" s="7">
        <v>48.741759042870058</v>
      </c>
      <c r="P78" s="7">
        <v>19.432485355816901</v>
      </c>
      <c r="Q78" s="3">
        <v>23369.999999999891</v>
      </c>
      <c r="R78" s="3">
        <v>5940.0000000014188</v>
      </c>
      <c r="S78" s="3">
        <v>137.59999999999309</v>
      </c>
      <c r="T78" s="3">
        <f t="shared" si="22"/>
        <v>29447.600000001301</v>
      </c>
      <c r="U78" s="6">
        <f t="shared" si="23"/>
        <v>9.7354312208655203E-2</v>
      </c>
      <c r="V78" s="6">
        <f t="shared" si="24"/>
        <v>2.4744741742385654E-2</v>
      </c>
      <c r="W78" s="6">
        <f t="shared" si="25"/>
        <v>5.732115258840542E-4</v>
      </c>
      <c r="X78" s="6">
        <f t="shared" si="26"/>
        <v>0.1226722654769249</v>
      </c>
      <c r="Y78" s="6">
        <f t="shared" si="27"/>
        <v>0.13939626321296136</v>
      </c>
    </row>
    <row r="79" spans="1:25" x14ac:dyDescent="0.35">
      <c r="A79" s="8">
        <v>45124</v>
      </c>
      <c r="B79" s="3">
        <v>215443</v>
      </c>
      <c r="C79" s="3">
        <v>27000</v>
      </c>
      <c r="D79" s="3">
        <f t="shared" si="17"/>
        <v>242443</v>
      </c>
      <c r="E79" s="4">
        <f t="shared" si="18"/>
        <v>2493.5532407407404</v>
      </c>
      <c r="F79" s="4">
        <f t="shared" si="18"/>
        <v>312.5</v>
      </c>
      <c r="G79" s="4">
        <f t="shared" si="19"/>
        <v>2806.0532407407404</v>
      </c>
      <c r="H79" s="3">
        <v>162642</v>
      </c>
      <c r="I79" s="3">
        <v>66944</v>
      </c>
      <c r="J79" s="4">
        <f t="shared" si="14"/>
        <v>229586</v>
      </c>
      <c r="K79" s="4">
        <f t="shared" si="20"/>
        <v>1882.4305555555554</v>
      </c>
      <c r="L79" s="4">
        <f t="shared" si="21"/>
        <v>774.81481481481478</v>
      </c>
      <c r="M79" s="4">
        <f t="shared" si="15"/>
        <v>2657.2453703703704</v>
      </c>
      <c r="N79" s="5">
        <f t="shared" si="16"/>
        <v>5.3031021724694052E-2</v>
      </c>
      <c r="O79" s="7">
        <v>46.921197972306892</v>
      </c>
      <c r="P79" s="7">
        <v>20.96869217487766</v>
      </c>
      <c r="Q79" s="3">
        <v>24119.999999999891</v>
      </c>
      <c r="R79" s="3">
        <v>5639.9999999989632</v>
      </c>
      <c r="S79" s="3">
        <v>142.000000000005</v>
      </c>
      <c r="T79" s="3">
        <f t="shared" si="22"/>
        <v>29901.999999998858</v>
      </c>
      <c r="U79" s="6">
        <f t="shared" si="23"/>
        <v>9.9487302169994143E-2</v>
      </c>
      <c r="V79" s="6">
        <f t="shared" si="24"/>
        <v>2.3263200009894958E-2</v>
      </c>
      <c r="W79" s="6">
        <f t="shared" si="25"/>
        <v>5.857046811003205E-4</v>
      </c>
      <c r="X79" s="6">
        <f t="shared" si="26"/>
        <v>0.12333620686098942</v>
      </c>
      <c r="Y79" s="6">
        <f t="shared" si="27"/>
        <v>0.13879309144413537</v>
      </c>
    </row>
    <row r="80" spans="1:25" x14ac:dyDescent="0.35">
      <c r="A80" s="2">
        <v>45125</v>
      </c>
      <c r="B80" s="3">
        <v>214925</v>
      </c>
      <c r="C80" s="3">
        <v>26100</v>
      </c>
      <c r="D80" s="3">
        <f t="shared" si="17"/>
        <v>241025</v>
      </c>
      <c r="E80" s="4">
        <f t="shared" si="18"/>
        <v>2487.55787037037</v>
      </c>
      <c r="F80" s="4">
        <f t="shared" si="18"/>
        <v>302.08333333333331</v>
      </c>
      <c r="G80" s="4">
        <f t="shared" si="19"/>
        <v>2789.6412037037035</v>
      </c>
      <c r="H80" s="3">
        <v>161878</v>
      </c>
      <c r="I80" s="3">
        <v>66774</v>
      </c>
      <c r="J80" s="4">
        <f t="shared" si="14"/>
        <v>228652</v>
      </c>
      <c r="K80" s="4">
        <f t="shared" si="20"/>
        <v>1873.5879629629628</v>
      </c>
      <c r="L80" s="4">
        <f t="shared" si="21"/>
        <v>772.84722222222217</v>
      </c>
      <c r="M80" s="4">
        <f t="shared" si="15"/>
        <v>2646.4351851851852</v>
      </c>
      <c r="N80" s="5">
        <f t="shared" si="16"/>
        <v>5.1334923763095112E-2</v>
      </c>
      <c r="O80" s="7">
        <v>52.184379213774506</v>
      </c>
      <c r="P80" s="7">
        <v>19.447908481976452</v>
      </c>
      <c r="Q80" s="3">
        <v>23849.999999999454</v>
      </c>
      <c r="R80" s="3">
        <v>5360.0000000010368</v>
      </c>
      <c r="S80" s="3">
        <v>106.39999999999532</v>
      </c>
      <c r="T80" s="3">
        <f t="shared" si="22"/>
        <v>29316.400000000485</v>
      </c>
      <c r="U80" s="6">
        <f t="shared" si="23"/>
        <v>9.895239083082441E-2</v>
      </c>
      <c r="V80" s="6">
        <f t="shared" si="24"/>
        <v>2.2238357016911261E-2</v>
      </c>
      <c r="W80" s="6">
        <f t="shared" si="25"/>
        <v>4.414479825744023E-4</v>
      </c>
      <c r="X80" s="6">
        <f t="shared" si="26"/>
        <v>0.12163219583031007</v>
      </c>
      <c r="Y80" s="6">
        <f t="shared" si="27"/>
        <v>0.13640293125509123</v>
      </c>
    </row>
    <row r="81" spans="1:25" x14ac:dyDescent="0.35">
      <c r="A81" s="2">
        <v>45126</v>
      </c>
      <c r="B81" s="3">
        <v>215261</v>
      </c>
      <c r="C81" s="3">
        <v>21600</v>
      </c>
      <c r="D81" s="3">
        <f t="shared" si="17"/>
        <v>236861</v>
      </c>
      <c r="E81" s="4">
        <f t="shared" si="18"/>
        <v>2491.4467592592591</v>
      </c>
      <c r="F81" s="4">
        <f t="shared" si="18"/>
        <v>249.99999999999997</v>
      </c>
      <c r="G81" s="4">
        <f t="shared" si="19"/>
        <v>2741.4467592592591</v>
      </c>
      <c r="H81" s="3">
        <v>159461</v>
      </c>
      <c r="I81" s="3">
        <v>64715</v>
      </c>
      <c r="J81" s="4">
        <f t="shared" si="14"/>
        <v>224176</v>
      </c>
      <c r="K81" s="4">
        <f t="shared" si="20"/>
        <v>1845.6134259259259</v>
      </c>
      <c r="L81" s="4">
        <f t="shared" si="21"/>
        <v>749.0162037037037</v>
      </c>
      <c r="M81" s="4">
        <f t="shared" si="15"/>
        <v>2594.6296296296296</v>
      </c>
      <c r="N81" s="5">
        <f t="shared" si="16"/>
        <v>5.3554616420601109E-2</v>
      </c>
      <c r="O81" s="7">
        <v>46.811573032284755</v>
      </c>
      <c r="P81" s="7">
        <v>19.837602820759685</v>
      </c>
      <c r="Q81" s="3">
        <v>22980.000000000928</v>
      </c>
      <c r="R81" s="3">
        <v>4660.0000000003092</v>
      </c>
      <c r="S81" s="3">
        <v>112.80000000000541</v>
      </c>
      <c r="T81" s="3">
        <f t="shared" si="22"/>
        <v>27752.800000001243</v>
      </c>
      <c r="U81" s="6">
        <f t="shared" si="23"/>
        <v>9.7018926712295089E-2</v>
      </c>
      <c r="V81" s="6">
        <f t="shared" si="24"/>
        <v>1.967398600867306E-2</v>
      </c>
      <c r="W81" s="6">
        <f t="shared" si="25"/>
        <v>4.7622867420134767E-4</v>
      </c>
      <c r="X81" s="6">
        <f t="shared" si="26"/>
        <v>0.1171691413951695</v>
      </c>
      <c r="Y81" s="6">
        <f t="shared" si="27"/>
        <v>0.12892628019010058</v>
      </c>
    </row>
    <row r="82" spans="1:25" x14ac:dyDescent="0.35">
      <c r="A82" s="2">
        <v>45127</v>
      </c>
      <c r="B82" s="3">
        <v>214895</v>
      </c>
      <c r="C82" s="3">
        <v>32400.000000000004</v>
      </c>
      <c r="D82" s="3">
        <f t="shared" si="17"/>
        <v>247295</v>
      </c>
      <c r="E82" s="4">
        <f t="shared" si="18"/>
        <v>2487.2106481481478</v>
      </c>
      <c r="F82" s="4">
        <f t="shared" si="18"/>
        <v>375</v>
      </c>
      <c r="G82" s="4">
        <f t="shared" si="19"/>
        <v>2862.2106481481478</v>
      </c>
      <c r="H82" s="3">
        <v>161735</v>
      </c>
      <c r="I82" s="3">
        <v>72707</v>
      </c>
      <c r="J82" s="4">
        <f t="shared" si="14"/>
        <v>234442</v>
      </c>
      <c r="K82" s="4">
        <f t="shared" si="20"/>
        <v>1871.9328703703702</v>
      </c>
      <c r="L82" s="4">
        <f t="shared" si="21"/>
        <v>841.5162037037037</v>
      </c>
      <c r="M82" s="4">
        <f t="shared" si="15"/>
        <v>2713.4490740740739</v>
      </c>
      <c r="N82" s="5">
        <f t="shared" si="16"/>
        <v>5.1974362603368449E-2</v>
      </c>
      <c r="O82" s="7">
        <v>44.800355850300249</v>
      </c>
      <c r="P82" s="7">
        <v>21.472972094646369</v>
      </c>
      <c r="Q82" s="3">
        <v>25500</v>
      </c>
      <c r="R82" s="3">
        <v>5619.9999999985266</v>
      </c>
      <c r="S82" s="3">
        <v>98.399999999994634</v>
      </c>
      <c r="T82" s="3">
        <f t="shared" si="22"/>
        <v>31218.399999998521</v>
      </c>
      <c r="U82" s="6">
        <f t="shared" si="23"/>
        <v>0.103115712003882</v>
      </c>
      <c r="V82" s="6">
        <f t="shared" si="24"/>
        <v>2.2725894174967252E-2</v>
      </c>
      <c r="W82" s="6">
        <f t="shared" si="25"/>
        <v>3.9790533573260534E-4</v>
      </c>
      <c r="X82" s="6">
        <f t="shared" si="26"/>
        <v>0.12623951151458185</v>
      </c>
      <c r="Y82" s="6">
        <f t="shared" si="27"/>
        <v>0.14527280765024092</v>
      </c>
    </row>
    <row r="83" spans="1:25" x14ac:dyDescent="0.35">
      <c r="A83" s="2">
        <v>45128</v>
      </c>
      <c r="B83" s="3">
        <v>215151</v>
      </c>
      <c r="C83" s="3">
        <v>28800</v>
      </c>
      <c r="D83" s="3">
        <f t="shared" si="17"/>
        <v>243951</v>
      </c>
      <c r="E83" s="4">
        <f t="shared" si="18"/>
        <v>2490.1736111111109</v>
      </c>
      <c r="F83" s="4">
        <f t="shared" si="18"/>
        <v>333.33333333333331</v>
      </c>
      <c r="G83" s="4">
        <f t="shared" si="19"/>
        <v>2823.5069444444443</v>
      </c>
      <c r="H83" s="3">
        <v>160108</v>
      </c>
      <c r="I83" s="3">
        <v>71489</v>
      </c>
      <c r="J83" s="4">
        <f t="shared" si="14"/>
        <v>231597</v>
      </c>
      <c r="K83" s="4">
        <f t="shared" si="20"/>
        <v>1853.1018518518517</v>
      </c>
      <c r="L83" s="4">
        <f t="shared" si="21"/>
        <v>827.41898148148141</v>
      </c>
      <c r="M83" s="4">
        <f t="shared" si="15"/>
        <v>2680.520833333333</v>
      </c>
      <c r="N83" s="5">
        <f t="shared" si="16"/>
        <v>5.0641317313722838E-2</v>
      </c>
      <c r="O83" s="7">
        <v>46.21390361179089</v>
      </c>
      <c r="P83" s="7">
        <v>20.978309318398452</v>
      </c>
      <c r="Q83" s="3">
        <v>25020.000000001801</v>
      </c>
      <c r="R83" s="3">
        <v>5800.0000000015461</v>
      </c>
      <c r="S83" s="3">
        <v>111.200000000008</v>
      </c>
      <c r="T83" s="3">
        <f t="shared" si="22"/>
        <v>30931.200000003355</v>
      </c>
      <c r="U83" s="6">
        <f t="shared" si="23"/>
        <v>0.10256157998943148</v>
      </c>
      <c r="V83" s="6">
        <f t="shared" si="24"/>
        <v>2.3775266344477155E-2</v>
      </c>
      <c r="W83" s="6">
        <f t="shared" si="25"/>
        <v>4.5582924439747328E-4</v>
      </c>
      <c r="X83" s="6">
        <f t="shared" si="26"/>
        <v>0.12679267557830612</v>
      </c>
      <c r="Y83" s="6">
        <f t="shared" si="27"/>
        <v>0.14376507662062157</v>
      </c>
    </row>
    <row r="84" spans="1:25" x14ac:dyDescent="0.35">
      <c r="A84" s="2">
        <v>45129</v>
      </c>
      <c r="B84" s="3">
        <v>215594</v>
      </c>
      <c r="C84" s="3">
        <v>24300</v>
      </c>
      <c r="D84" s="3">
        <f t="shared" si="17"/>
        <v>239894</v>
      </c>
      <c r="E84" s="4">
        <f t="shared" si="18"/>
        <v>2495.3009259259256</v>
      </c>
      <c r="F84" s="4">
        <f t="shared" si="18"/>
        <v>281.25</v>
      </c>
      <c r="G84" s="4">
        <f t="shared" si="19"/>
        <v>2776.5509259259256</v>
      </c>
      <c r="H84" s="3">
        <v>158844</v>
      </c>
      <c r="I84" s="3">
        <v>67249</v>
      </c>
      <c r="J84" s="4">
        <f t="shared" si="14"/>
        <v>226093</v>
      </c>
      <c r="K84" s="4">
        <f t="shared" si="20"/>
        <v>1838.4722222222222</v>
      </c>
      <c r="L84" s="4">
        <f t="shared" si="21"/>
        <v>778.34490740740739</v>
      </c>
      <c r="M84" s="4">
        <f t="shared" si="15"/>
        <v>2616.8171296296296</v>
      </c>
      <c r="N84" s="5">
        <f t="shared" si="16"/>
        <v>5.7529575562540125E-2</v>
      </c>
      <c r="O84" s="7">
        <v>52.33970003418176</v>
      </c>
      <c r="P84" s="7">
        <v>20.011568194553547</v>
      </c>
      <c r="Q84" s="3">
        <v>23700.000000000273</v>
      </c>
      <c r="R84" s="3">
        <v>5859.9999999996726</v>
      </c>
      <c r="S84" s="3">
        <v>104.39999999999145</v>
      </c>
      <c r="T84" s="3">
        <f t="shared" si="22"/>
        <v>29664.399999999936</v>
      </c>
      <c r="U84" s="6">
        <f t="shared" si="23"/>
        <v>9.8793633854953739E-2</v>
      </c>
      <c r="V84" s="6">
        <f t="shared" si="24"/>
        <v>2.4427455459493246E-2</v>
      </c>
      <c r="W84" s="6">
        <f t="shared" si="25"/>
        <v>4.3519220989266698E-4</v>
      </c>
      <c r="X84" s="6">
        <f t="shared" si="26"/>
        <v>0.12365628152433965</v>
      </c>
      <c r="Y84" s="6">
        <f t="shared" si="27"/>
        <v>0.13759381058842052</v>
      </c>
    </row>
    <row r="85" spans="1:25" x14ac:dyDescent="0.35">
      <c r="A85" s="2">
        <v>45130</v>
      </c>
      <c r="B85" s="3">
        <v>215544</v>
      </c>
      <c r="C85" s="3">
        <v>23400</v>
      </c>
      <c r="D85" s="3">
        <f t="shared" si="17"/>
        <v>238944</v>
      </c>
      <c r="E85" s="4">
        <f t="shared" si="18"/>
        <v>2494.7222222222222</v>
      </c>
      <c r="F85" s="4">
        <f t="shared" si="18"/>
        <v>270.83333333333331</v>
      </c>
      <c r="G85" s="4">
        <f t="shared" si="19"/>
        <v>2765.5555555555557</v>
      </c>
      <c r="H85" s="3">
        <v>160131</v>
      </c>
      <c r="I85" s="3">
        <v>67572</v>
      </c>
      <c r="J85" s="4">
        <f t="shared" si="14"/>
        <v>227703</v>
      </c>
      <c r="K85" s="4">
        <f t="shared" si="20"/>
        <v>1853.3680555555554</v>
      </c>
      <c r="L85" s="4">
        <f t="shared" si="21"/>
        <v>782.08333333333326</v>
      </c>
      <c r="M85" s="4">
        <f t="shared" si="15"/>
        <v>2635.4513888888887</v>
      </c>
      <c r="N85" s="5">
        <f t="shared" si="16"/>
        <v>4.7044495781438329E-2</v>
      </c>
      <c r="O85" s="7">
        <v>50.502410606669343</v>
      </c>
      <c r="P85" s="7">
        <v>20.707132376786358</v>
      </c>
      <c r="Q85" s="3">
        <v>23789.999999999509</v>
      </c>
      <c r="R85" s="3">
        <v>4499.9999999990905</v>
      </c>
      <c r="S85" s="3">
        <v>114.80000000000587</v>
      </c>
      <c r="T85" s="3">
        <f t="shared" si="22"/>
        <v>28404.799999998606</v>
      </c>
      <c r="U85" s="6">
        <f t="shared" si="23"/>
        <v>9.9563077541179143E-2</v>
      </c>
      <c r="V85" s="6">
        <f t="shared" si="24"/>
        <v>1.8832864604254932E-2</v>
      </c>
      <c r="W85" s="6">
        <f t="shared" si="25"/>
        <v>4.8044730145978081E-4</v>
      </c>
      <c r="X85" s="6">
        <f t="shared" si="26"/>
        <v>0.11887638944689385</v>
      </c>
      <c r="Y85" s="6">
        <f t="shared" si="27"/>
        <v>0.13178190995805314</v>
      </c>
    </row>
    <row r="86" spans="1:25" x14ac:dyDescent="0.35">
      <c r="A86" s="8">
        <v>45131</v>
      </c>
      <c r="B86" s="3">
        <v>215560</v>
      </c>
      <c r="C86" s="3">
        <v>27000</v>
      </c>
      <c r="D86" s="3">
        <f t="shared" si="17"/>
        <v>242560</v>
      </c>
      <c r="E86" s="4">
        <f t="shared" si="18"/>
        <v>2494.9074074074074</v>
      </c>
      <c r="F86" s="4">
        <f t="shared" si="18"/>
        <v>312.5</v>
      </c>
      <c r="G86" s="4">
        <f t="shared" si="19"/>
        <v>2807.4074074074074</v>
      </c>
      <c r="H86" s="3">
        <v>162921</v>
      </c>
      <c r="I86" s="3">
        <v>71973</v>
      </c>
      <c r="J86" s="4">
        <f t="shared" si="14"/>
        <v>234894</v>
      </c>
      <c r="K86" s="4">
        <f t="shared" si="20"/>
        <v>1885.6597222222222</v>
      </c>
      <c r="L86" s="4">
        <f t="shared" si="21"/>
        <v>833.02083333333326</v>
      </c>
      <c r="M86" s="4">
        <f t="shared" si="15"/>
        <v>2718.6805555555557</v>
      </c>
      <c r="N86" s="5">
        <f t="shared" si="16"/>
        <v>3.1604551451187332E-2</v>
      </c>
      <c r="O86" s="7">
        <v>49.376352242744062</v>
      </c>
      <c r="P86" s="7">
        <v>20.981916997376555</v>
      </c>
      <c r="Q86" s="3">
        <v>22319.999999997435</v>
      </c>
      <c r="R86" s="3">
        <v>5520.0000000004366</v>
      </c>
      <c r="S86" s="3">
        <v>109.19999999999618</v>
      </c>
      <c r="T86" s="3">
        <f t="shared" si="22"/>
        <v>27949.199999997869</v>
      </c>
      <c r="U86" s="6">
        <f t="shared" si="23"/>
        <v>9.2018469656981516E-2</v>
      </c>
      <c r="V86" s="6">
        <f t="shared" si="24"/>
        <v>2.2757255936677261E-2</v>
      </c>
      <c r="W86" s="6">
        <f t="shared" si="25"/>
        <v>4.5019788918204229E-4</v>
      </c>
      <c r="X86" s="6">
        <f t="shared" si="26"/>
        <v>0.11522592348284082</v>
      </c>
      <c r="Y86" s="6">
        <f t="shared" si="27"/>
        <v>0.12965856374094392</v>
      </c>
    </row>
    <row r="87" spans="1:25" x14ac:dyDescent="0.35">
      <c r="A87" s="2">
        <v>45132</v>
      </c>
      <c r="B87" s="3">
        <v>215608</v>
      </c>
      <c r="C87" s="3">
        <v>27900</v>
      </c>
      <c r="D87" s="3">
        <f t="shared" si="17"/>
        <v>243508</v>
      </c>
      <c r="E87" s="4">
        <f t="shared" si="18"/>
        <v>2495.4629629629626</v>
      </c>
      <c r="F87" s="4">
        <f t="shared" si="18"/>
        <v>322.91666666666663</v>
      </c>
      <c r="G87" s="4">
        <f t="shared" si="19"/>
        <v>2818.3796296296291</v>
      </c>
      <c r="H87" s="3">
        <v>162079</v>
      </c>
      <c r="I87" s="3">
        <v>66718</v>
      </c>
      <c r="J87" s="4">
        <f t="shared" si="14"/>
        <v>228797</v>
      </c>
      <c r="K87" s="4">
        <f t="shared" si="20"/>
        <v>1875.9143518518517</v>
      </c>
      <c r="L87" s="4">
        <f t="shared" si="21"/>
        <v>772.19907407407402</v>
      </c>
      <c r="M87" s="4">
        <f t="shared" si="15"/>
        <v>2648.1134259259256</v>
      </c>
      <c r="N87" s="5">
        <f t="shared" si="16"/>
        <v>6.0412799579479932E-2</v>
      </c>
      <c r="O87" s="7">
        <v>47.130804737421357</v>
      </c>
      <c r="P87" s="7">
        <v>21.50468849096649</v>
      </c>
      <c r="Q87" s="3">
        <v>27600.000000000819</v>
      </c>
      <c r="R87" s="3">
        <v>5519.9999999995271</v>
      </c>
      <c r="S87" s="3">
        <v>93.600000000004684</v>
      </c>
      <c r="T87" s="3">
        <f t="shared" si="22"/>
        <v>33213.600000000355</v>
      </c>
      <c r="U87" s="6">
        <f t="shared" si="23"/>
        <v>0.11334329878279489</v>
      </c>
      <c r="V87" s="6">
        <f t="shared" si="24"/>
        <v>2.2668659756556363E-2</v>
      </c>
      <c r="W87" s="6">
        <f t="shared" si="25"/>
        <v>3.8438162195905136E-4</v>
      </c>
      <c r="X87" s="6">
        <f t="shared" si="26"/>
        <v>0.13639634016131033</v>
      </c>
      <c r="Y87" s="6">
        <f t="shared" si="27"/>
        <v>0.15404623205076043</v>
      </c>
    </row>
    <row r="88" spans="1:25" x14ac:dyDescent="0.35">
      <c r="A88" s="2">
        <v>45133</v>
      </c>
      <c r="B88" s="3">
        <v>215920</v>
      </c>
      <c r="C88" s="3">
        <v>25200</v>
      </c>
      <c r="D88" s="3">
        <f t="shared" si="17"/>
        <v>241120</v>
      </c>
      <c r="E88" s="4">
        <f t="shared" si="18"/>
        <v>2499.0740740740739</v>
      </c>
      <c r="F88" s="4">
        <f t="shared" si="18"/>
        <v>291.66666666666663</v>
      </c>
      <c r="G88" s="4">
        <f t="shared" si="19"/>
        <v>2790.7407407407404</v>
      </c>
      <c r="H88" s="3">
        <v>161550</v>
      </c>
      <c r="I88" s="3">
        <v>67527</v>
      </c>
      <c r="J88" s="4">
        <f t="shared" si="14"/>
        <v>229077</v>
      </c>
      <c r="K88" s="4">
        <f t="shared" si="20"/>
        <v>1869.7916666666665</v>
      </c>
      <c r="L88" s="4">
        <f t="shared" si="21"/>
        <v>781.5625</v>
      </c>
      <c r="M88" s="4">
        <f t="shared" si="15"/>
        <v>2651.3541666666665</v>
      </c>
      <c r="N88" s="5">
        <f t="shared" si="16"/>
        <v>4.9946084936960851E-2</v>
      </c>
      <c r="O88" s="7">
        <v>50.370504313205046</v>
      </c>
      <c r="P88" s="7">
        <v>20.449824107703471</v>
      </c>
      <c r="Q88" s="3">
        <v>24360.000000001037</v>
      </c>
      <c r="R88" s="3">
        <v>5039.9999999999636</v>
      </c>
      <c r="S88" s="3">
        <v>103.19999999999368</v>
      </c>
      <c r="T88" s="3">
        <f t="shared" si="22"/>
        <v>29503.200000000994</v>
      </c>
      <c r="U88" s="6">
        <f t="shared" si="23"/>
        <v>0.10102853351028963</v>
      </c>
      <c r="V88" s="6">
        <f t="shared" si="24"/>
        <v>2.0902455209024402E-2</v>
      </c>
      <c r="W88" s="6">
        <f t="shared" si="25"/>
        <v>4.2800265428000032E-4</v>
      </c>
      <c r="X88" s="6">
        <f t="shared" si="26"/>
        <v>0.12235899137359403</v>
      </c>
      <c r="Y88" s="6">
        <f t="shared" si="27"/>
        <v>0.13663949610967485</v>
      </c>
    </row>
    <row r="89" spans="1:25" x14ac:dyDescent="0.35">
      <c r="A89" s="2">
        <v>45134</v>
      </c>
      <c r="B89" s="3">
        <v>215383</v>
      </c>
      <c r="C89" s="3">
        <v>27000</v>
      </c>
      <c r="D89" s="3">
        <f t="shared" si="17"/>
        <v>242383</v>
      </c>
      <c r="E89" s="4">
        <f t="shared" si="18"/>
        <v>2492.8587962962961</v>
      </c>
      <c r="F89" s="4">
        <f t="shared" si="18"/>
        <v>312.5</v>
      </c>
      <c r="G89" s="4">
        <f t="shared" si="19"/>
        <v>2805.3587962962961</v>
      </c>
      <c r="H89" s="3">
        <v>162259</v>
      </c>
      <c r="I89" s="3">
        <v>68527</v>
      </c>
      <c r="J89" s="4">
        <f t="shared" si="14"/>
        <v>230786</v>
      </c>
      <c r="K89" s="4">
        <f t="shared" si="20"/>
        <v>1877.997685185185</v>
      </c>
      <c r="L89" s="4">
        <f t="shared" si="21"/>
        <v>793.13657407407402</v>
      </c>
      <c r="M89" s="4">
        <f t="shared" si="15"/>
        <v>2671.1342592592591</v>
      </c>
      <c r="N89" s="5">
        <f t="shared" si="16"/>
        <v>4.7845764760729922E-2</v>
      </c>
      <c r="O89" s="7">
        <v>49.555059554506713</v>
      </c>
      <c r="P89" s="7">
        <v>21.230801195552427</v>
      </c>
      <c r="Q89" s="3">
        <v>25080.000000000382</v>
      </c>
      <c r="R89" s="3">
        <v>5039.9999999995089</v>
      </c>
      <c r="S89" s="3">
        <v>115.60000000000059</v>
      </c>
      <c r="T89" s="3">
        <f t="shared" si="22"/>
        <v>30235.599999999893</v>
      </c>
      <c r="U89" s="6">
        <f t="shared" si="23"/>
        <v>0.10347260327663402</v>
      </c>
      <c r="V89" s="6">
        <f t="shared" si="24"/>
        <v>2.0793537500565257E-2</v>
      </c>
      <c r="W89" s="6">
        <f t="shared" si="25"/>
        <v>4.7693113790983936E-4</v>
      </c>
      <c r="X89" s="6">
        <f t="shared" si="26"/>
        <v>0.12474307191510911</v>
      </c>
      <c r="Y89" s="6">
        <f t="shared" si="27"/>
        <v>0.14038062428325307</v>
      </c>
    </row>
    <row r="90" spans="1:25" x14ac:dyDescent="0.35">
      <c r="A90" s="2">
        <v>45135</v>
      </c>
      <c r="B90" s="3">
        <v>215179</v>
      </c>
      <c r="C90" s="3">
        <v>28800</v>
      </c>
      <c r="D90" s="3">
        <f t="shared" si="17"/>
        <v>243979</v>
      </c>
      <c r="E90" s="4">
        <f t="shared" si="18"/>
        <v>2490.4976851851852</v>
      </c>
      <c r="F90" s="4">
        <f t="shared" si="18"/>
        <v>333.33333333333331</v>
      </c>
      <c r="G90" s="4">
        <f t="shared" si="19"/>
        <v>2823.8310185185187</v>
      </c>
      <c r="H90" s="3">
        <v>162740</v>
      </c>
      <c r="I90" s="3">
        <v>71911</v>
      </c>
      <c r="J90" s="4">
        <f t="shared" si="14"/>
        <v>234651</v>
      </c>
      <c r="K90" s="4">
        <f t="shared" si="20"/>
        <v>1883.5648148148148</v>
      </c>
      <c r="L90" s="4">
        <f t="shared" si="21"/>
        <v>832.30324074074065</v>
      </c>
      <c r="M90" s="4">
        <f t="shared" si="15"/>
        <v>2715.8680555555557</v>
      </c>
      <c r="N90" s="5">
        <f t="shared" si="16"/>
        <v>3.8232798724480384E-2</v>
      </c>
      <c r="O90" s="7">
        <v>46.574844556293776</v>
      </c>
      <c r="P90" s="7">
        <v>22.971396843559464</v>
      </c>
      <c r="Q90" s="3">
        <v>25139.999999998963</v>
      </c>
      <c r="R90" s="3">
        <v>5820.0000000010732</v>
      </c>
      <c r="S90" s="3">
        <v>123.60000000000241</v>
      </c>
      <c r="T90" s="3">
        <f t="shared" si="22"/>
        <v>31083.600000000039</v>
      </c>
      <c r="U90" s="6">
        <f t="shared" si="23"/>
        <v>0.1030416552244208</v>
      </c>
      <c r="V90" s="6">
        <f t="shared" si="24"/>
        <v>2.3854512068666046E-2</v>
      </c>
      <c r="W90" s="6">
        <f t="shared" si="25"/>
        <v>5.0660097795303047E-4</v>
      </c>
      <c r="X90" s="6">
        <f t="shared" si="26"/>
        <v>0.12740276827103988</v>
      </c>
      <c r="Y90" s="6">
        <f t="shared" si="27"/>
        <v>0.14445461685387531</v>
      </c>
    </row>
    <row r="91" spans="1:25" x14ac:dyDescent="0.35">
      <c r="A91" s="2">
        <v>45136</v>
      </c>
      <c r="B91" s="3">
        <v>214657</v>
      </c>
      <c r="C91" s="3">
        <v>28800</v>
      </c>
      <c r="D91" s="3">
        <f t="shared" si="17"/>
        <v>243457</v>
      </c>
      <c r="E91" s="4">
        <f t="shared" si="18"/>
        <v>2484.4560185185182</v>
      </c>
      <c r="F91" s="4">
        <f t="shared" si="18"/>
        <v>333.33333333333331</v>
      </c>
      <c r="G91" s="4">
        <f t="shared" si="19"/>
        <v>2817.7893518518517</v>
      </c>
      <c r="H91" s="3">
        <v>160505</v>
      </c>
      <c r="I91" s="3">
        <v>68070</v>
      </c>
      <c r="J91" s="4">
        <f t="shared" si="14"/>
        <v>228575</v>
      </c>
      <c r="K91" s="4">
        <f t="shared" si="20"/>
        <v>1857.6967592592591</v>
      </c>
      <c r="L91" s="4">
        <f t="shared" si="21"/>
        <v>787.84722222222217</v>
      </c>
      <c r="M91" s="4">
        <f t="shared" si="15"/>
        <v>2645.5439814814813</v>
      </c>
      <c r="N91" s="5">
        <f t="shared" si="16"/>
        <v>6.112783777011957E-2</v>
      </c>
      <c r="O91" s="7">
        <v>46.277363148317775</v>
      </c>
      <c r="P91" s="7">
        <v>20.300027884632794</v>
      </c>
      <c r="Q91" s="3">
        <v>24119.999999998527</v>
      </c>
      <c r="R91" s="3">
        <v>5360.0000000001273</v>
      </c>
      <c r="S91" s="3">
        <v>104.40000000000282</v>
      </c>
      <c r="T91" s="3">
        <f t="shared" si="22"/>
        <v>29584.399999998655</v>
      </c>
      <c r="U91" s="6">
        <f t="shared" si="23"/>
        <v>9.9072936904662942E-2</v>
      </c>
      <c r="V91" s="6">
        <f t="shared" si="24"/>
        <v>2.2016208201038077E-2</v>
      </c>
      <c r="W91" s="6">
        <f t="shared" si="25"/>
        <v>4.2882315973663857E-4</v>
      </c>
      <c r="X91" s="6">
        <f t="shared" si="26"/>
        <v>0.12151796826543766</v>
      </c>
      <c r="Y91" s="6">
        <f t="shared" si="27"/>
        <v>0.13782173420852176</v>
      </c>
    </row>
    <row r="92" spans="1:25" x14ac:dyDescent="0.35">
      <c r="A92" s="2">
        <v>45137</v>
      </c>
      <c r="B92" s="3">
        <v>214462</v>
      </c>
      <c r="C92" s="3">
        <v>26100</v>
      </c>
      <c r="D92" s="3">
        <f t="shared" si="17"/>
        <v>240562</v>
      </c>
      <c r="E92" s="4">
        <f t="shared" si="18"/>
        <v>2482.1990740740739</v>
      </c>
      <c r="F92" s="4">
        <f t="shared" si="18"/>
        <v>302.08333333333331</v>
      </c>
      <c r="G92" s="4">
        <f t="shared" si="19"/>
        <v>2784.2824074074074</v>
      </c>
      <c r="H92" s="3">
        <v>160095</v>
      </c>
      <c r="I92" s="3">
        <v>67865</v>
      </c>
      <c r="J92" s="4">
        <f t="shared" si="14"/>
        <v>227960</v>
      </c>
      <c r="K92" s="4">
        <f t="shared" si="20"/>
        <v>1852.9513888888887</v>
      </c>
      <c r="L92" s="4">
        <f t="shared" si="21"/>
        <v>785.47453703703695</v>
      </c>
      <c r="M92" s="4">
        <f t="shared" si="15"/>
        <v>2638.4259259259256</v>
      </c>
      <c r="N92" s="5">
        <f t="shared" si="16"/>
        <v>5.2385663571137588E-2</v>
      </c>
      <c r="O92" s="7">
        <v>47.573914417073354</v>
      </c>
      <c r="P92" s="7">
        <v>20.379593781231023</v>
      </c>
      <c r="Q92" s="3">
        <v>23550.000000001091</v>
      </c>
      <c r="R92" s="3">
        <v>5160.0000000003092</v>
      </c>
      <c r="S92" s="3">
        <v>105.59999999999945</v>
      </c>
      <c r="T92" s="3">
        <f t="shared" si="22"/>
        <v>28815.600000001399</v>
      </c>
      <c r="U92" s="6">
        <f t="shared" si="23"/>
        <v>9.7895760760224354E-2</v>
      </c>
      <c r="V92" s="6">
        <f t="shared" si="24"/>
        <v>2.1449771784406137E-2</v>
      </c>
      <c r="W92" s="6">
        <f t="shared" si="25"/>
        <v>4.3897207372735282E-4</v>
      </c>
      <c r="X92" s="6">
        <f t="shared" si="26"/>
        <v>0.11978450461835784</v>
      </c>
      <c r="Y92" s="6">
        <f t="shared" si="27"/>
        <v>0.13436226464362638</v>
      </c>
    </row>
    <row r="93" spans="1:25" x14ac:dyDescent="0.35">
      <c r="A93" s="8">
        <v>45138</v>
      </c>
      <c r="B93" s="3">
        <v>214094</v>
      </c>
      <c r="C93" s="3">
        <v>32085</v>
      </c>
      <c r="D93" s="3">
        <f t="shared" si="17"/>
        <v>246179</v>
      </c>
      <c r="E93" s="4">
        <f t="shared" si="18"/>
        <v>2477.9398148148148</v>
      </c>
      <c r="F93" s="4">
        <f t="shared" si="18"/>
        <v>371.35416666666663</v>
      </c>
      <c r="G93" s="4">
        <f t="shared" si="19"/>
        <v>2849.2939814814813</v>
      </c>
      <c r="H93" s="3">
        <v>161738</v>
      </c>
      <c r="I93" s="3">
        <v>73679</v>
      </c>
      <c r="J93" s="4">
        <f t="shared" si="14"/>
        <v>235417</v>
      </c>
      <c r="K93" s="4">
        <f t="shared" si="20"/>
        <v>1871.9675925925924</v>
      </c>
      <c r="L93" s="4">
        <f t="shared" si="21"/>
        <v>852.7662037037037</v>
      </c>
      <c r="M93" s="4">
        <f t="shared" si="15"/>
        <v>2724.7337962962961</v>
      </c>
      <c r="N93" s="5">
        <f t="shared" si="16"/>
        <v>4.3716157755129395E-2</v>
      </c>
      <c r="O93" s="7">
        <v>48.072873803208232</v>
      </c>
      <c r="P93" s="7">
        <v>22.536150245134099</v>
      </c>
      <c r="Q93" s="3">
        <v>25649.999999999181</v>
      </c>
      <c r="R93" s="3">
        <v>7439.9999999995998</v>
      </c>
      <c r="S93" s="3">
        <v>90.399999999995089</v>
      </c>
      <c r="T93" s="3">
        <f t="shared" si="22"/>
        <v>33180.399999998772</v>
      </c>
      <c r="U93" s="6">
        <f t="shared" si="23"/>
        <v>0.10419247783116831</v>
      </c>
      <c r="V93" s="6">
        <f t="shared" si="24"/>
        <v>3.0221911698396695E-2</v>
      </c>
      <c r="W93" s="6">
        <f t="shared" si="25"/>
        <v>3.6721247547514245E-4</v>
      </c>
      <c r="X93" s="6">
        <f t="shared" si="26"/>
        <v>0.13478160200504011</v>
      </c>
      <c r="Y93" s="6">
        <f t="shared" si="27"/>
        <v>0.15498052257419065</v>
      </c>
    </row>
    <row r="94" spans="1:25" x14ac:dyDescent="0.35">
      <c r="A94" s="2">
        <v>45139</v>
      </c>
      <c r="B94" s="3">
        <v>213261</v>
      </c>
      <c r="C94" s="3">
        <v>32400</v>
      </c>
      <c r="D94" s="3">
        <f t="shared" si="17"/>
        <v>245661</v>
      </c>
      <c r="E94" s="4">
        <f t="shared" si="18"/>
        <v>2468.2986111111109</v>
      </c>
      <c r="F94" s="4">
        <f t="shared" si="18"/>
        <v>375</v>
      </c>
      <c r="G94" s="4">
        <f t="shared" si="19"/>
        <v>2843.2986111111109</v>
      </c>
      <c r="H94" s="3">
        <v>161272</v>
      </c>
      <c r="I94" s="3">
        <v>73844</v>
      </c>
      <c r="J94" s="4">
        <f t="shared" si="14"/>
        <v>235116</v>
      </c>
      <c r="K94" s="4">
        <f t="shared" si="20"/>
        <v>1866.5740740740739</v>
      </c>
      <c r="L94" s="4">
        <f t="shared" si="21"/>
        <v>854.67592592592587</v>
      </c>
      <c r="M94" s="4">
        <f t="shared" si="15"/>
        <v>2721.25</v>
      </c>
      <c r="N94" s="5">
        <f t="shared" si="16"/>
        <v>4.2925006411274072E-2</v>
      </c>
      <c r="O94" s="7">
        <v>48.587004042155655</v>
      </c>
      <c r="P94" s="7">
        <v>22.007555871514196</v>
      </c>
      <c r="Q94" s="3">
        <v>25950.000000001637</v>
      </c>
      <c r="R94" s="3">
        <v>9099.9999999989996</v>
      </c>
      <c r="S94" s="3">
        <v>96.000000000000227</v>
      </c>
      <c r="T94" s="3">
        <f t="shared" si="22"/>
        <v>35146.00000000064</v>
      </c>
      <c r="U94" s="6">
        <f t="shared" si="23"/>
        <v>0.10563337281864699</v>
      </c>
      <c r="V94" s="6">
        <f t="shared" si="24"/>
        <v>3.7042916865106794E-2</v>
      </c>
      <c r="W94" s="6">
        <f t="shared" si="25"/>
        <v>3.9078241967589576E-4</v>
      </c>
      <c r="X94" s="6">
        <f t="shared" si="26"/>
        <v>0.1430670721034297</v>
      </c>
      <c r="Y94" s="6">
        <f t="shared" si="27"/>
        <v>0.16480275343358908</v>
      </c>
    </row>
    <row r="95" spans="1:25" x14ac:dyDescent="0.35">
      <c r="A95" s="2">
        <v>45140</v>
      </c>
      <c r="B95" s="3">
        <v>213180</v>
      </c>
      <c r="C95" s="3">
        <v>32400</v>
      </c>
      <c r="D95" s="3">
        <f t="shared" si="17"/>
        <v>245580</v>
      </c>
      <c r="E95" s="4">
        <f t="shared" si="18"/>
        <v>2467.3611111111109</v>
      </c>
      <c r="F95" s="4">
        <f t="shared" si="18"/>
        <v>375</v>
      </c>
      <c r="G95" s="4">
        <f t="shared" si="19"/>
        <v>2842.3611111111109</v>
      </c>
      <c r="H95" s="3">
        <v>162166</v>
      </c>
      <c r="I95" s="3">
        <v>73372</v>
      </c>
      <c r="J95" s="4">
        <f t="shared" si="14"/>
        <v>235538</v>
      </c>
      <c r="K95" s="4">
        <f t="shared" si="20"/>
        <v>1876.9212962962961</v>
      </c>
      <c r="L95" s="4">
        <f t="shared" si="21"/>
        <v>849.21296296296293</v>
      </c>
      <c r="M95" s="4">
        <f t="shared" si="15"/>
        <v>2726.1342592592591</v>
      </c>
      <c r="N95" s="5">
        <f t="shared" si="16"/>
        <v>4.0890952031924423E-2</v>
      </c>
      <c r="O95" s="7">
        <v>49.653457121915466</v>
      </c>
      <c r="P95" s="7">
        <v>23.582361666984099</v>
      </c>
      <c r="Q95" s="3">
        <v>25889.999999998963</v>
      </c>
      <c r="R95" s="3">
        <v>9000.0000000009095</v>
      </c>
      <c r="S95" s="3">
        <v>101.60000000000423</v>
      </c>
      <c r="T95" s="3">
        <f t="shared" si="22"/>
        <v>34991.599999999875</v>
      </c>
      <c r="U95" s="6">
        <f t="shared" si="23"/>
        <v>0.10542389445394154</v>
      </c>
      <c r="V95" s="6">
        <f t="shared" si="24"/>
        <v>3.6647935499637227E-2</v>
      </c>
      <c r="W95" s="6">
        <f t="shared" si="25"/>
        <v>4.1371447186254673E-4</v>
      </c>
      <c r="X95" s="6">
        <f t="shared" si="26"/>
        <v>0.14248554442544131</v>
      </c>
      <c r="Y95" s="6">
        <f t="shared" si="27"/>
        <v>0.16414110141664262</v>
      </c>
    </row>
    <row r="96" spans="1:25" x14ac:dyDescent="0.35">
      <c r="A96" s="2">
        <v>45141</v>
      </c>
      <c r="B96" s="3">
        <v>212884</v>
      </c>
      <c r="C96" s="3">
        <v>36000</v>
      </c>
      <c r="D96" s="3">
        <f t="shared" si="17"/>
        <v>248884</v>
      </c>
      <c r="E96" s="4">
        <f t="shared" si="18"/>
        <v>2463.9351851851852</v>
      </c>
      <c r="F96" s="4">
        <f t="shared" si="18"/>
        <v>416.66666666666663</v>
      </c>
      <c r="G96" s="4">
        <f t="shared" si="19"/>
        <v>2880.6018518518517</v>
      </c>
      <c r="H96" s="3">
        <v>162920</v>
      </c>
      <c r="I96" s="3">
        <v>73307</v>
      </c>
      <c r="J96" s="4">
        <f t="shared" si="14"/>
        <v>236227</v>
      </c>
      <c r="K96" s="4">
        <f t="shared" si="20"/>
        <v>1885.648148148148</v>
      </c>
      <c r="L96" s="4">
        <f t="shared" si="21"/>
        <v>848.46064814814804</v>
      </c>
      <c r="M96" s="4">
        <f t="shared" si="15"/>
        <v>2734.1087962962961</v>
      </c>
      <c r="N96" s="5">
        <f t="shared" si="16"/>
        <v>5.0855016794972757E-2</v>
      </c>
      <c r="O96" s="7">
        <v>52.612622747946837</v>
      </c>
      <c r="P96" s="7">
        <v>22.700646204388939</v>
      </c>
      <c r="Q96" s="3">
        <v>28950.000000000273</v>
      </c>
      <c r="R96" s="3">
        <v>10040.000000000418</v>
      </c>
      <c r="S96" s="3">
        <v>102.40000000000123</v>
      </c>
      <c r="T96" s="3">
        <f t="shared" si="22"/>
        <v>39092.400000000693</v>
      </c>
      <c r="U96" s="6">
        <f t="shared" si="23"/>
        <v>0.11631924912810897</v>
      </c>
      <c r="V96" s="6">
        <f t="shared" si="24"/>
        <v>4.0340078108678817E-2</v>
      </c>
      <c r="W96" s="6">
        <f t="shared" si="25"/>
        <v>4.1143665321997892E-4</v>
      </c>
      <c r="X96" s="6">
        <f t="shared" si="26"/>
        <v>0.15707076389000776</v>
      </c>
      <c r="Y96" s="6">
        <f t="shared" si="27"/>
        <v>0.18363240074407045</v>
      </c>
    </row>
    <row r="97" spans="1:25" x14ac:dyDescent="0.35">
      <c r="A97" s="2">
        <v>45142</v>
      </c>
      <c r="B97" s="3">
        <v>212831</v>
      </c>
      <c r="C97" s="3">
        <v>34200</v>
      </c>
      <c r="D97" s="3">
        <f t="shared" si="17"/>
        <v>247031</v>
      </c>
      <c r="E97" s="4">
        <f t="shared" si="18"/>
        <v>2463.3217592592591</v>
      </c>
      <c r="F97" s="4">
        <f t="shared" si="18"/>
        <v>395.83333333333331</v>
      </c>
      <c r="G97" s="4">
        <f t="shared" si="19"/>
        <v>2859.1550925925926</v>
      </c>
      <c r="H97" s="3">
        <v>163307</v>
      </c>
      <c r="I97" s="3">
        <v>72874</v>
      </c>
      <c r="J97" s="4">
        <f t="shared" si="14"/>
        <v>236181</v>
      </c>
      <c r="K97" s="4">
        <f t="shared" si="20"/>
        <v>1890.1273148148148</v>
      </c>
      <c r="L97" s="4">
        <f t="shared" si="21"/>
        <v>843.44907407407402</v>
      </c>
      <c r="M97" s="4">
        <f t="shared" si="15"/>
        <v>2733.5763888888887</v>
      </c>
      <c r="N97" s="5">
        <f t="shared" si="16"/>
        <v>4.3921613076901282E-2</v>
      </c>
      <c r="O97" s="7">
        <v>49.498629726633503</v>
      </c>
      <c r="P97" s="7">
        <v>20.487582680856629</v>
      </c>
      <c r="Q97" s="3">
        <v>23190.000000001419</v>
      </c>
      <c r="R97" s="3">
        <v>9479.9999999995634</v>
      </c>
      <c r="S97" s="3">
        <v>78.800000000001091</v>
      </c>
      <c r="T97" s="3">
        <f t="shared" si="22"/>
        <v>32748.800000000985</v>
      </c>
      <c r="U97" s="6">
        <f t="shared" si="23"/>
        <v>9.3874857811373544E-2</v>
      </c>
      <c r="V97" s="6">
        <f t="shared" si="24"/>
        <v>3.8375750411889856E-2</v>
      </c>
      <c r="W97" s="6">
        <f t="shared" si="25"/>
        <v>3.1898830511150863E-4</v>
      </c>
      <c r="X97" s="6">
        <f t="shared" si="26"/>
        <v>0.13256959652837491</v>
      </c>
      <c r="Y97" s="6">
        <f t="shared" si="27"/>
        <v>0.15387232123140418</v>
      </c>
    </row>
    <row r="98" spans="1:25" x14ac:dyDescent="0.35">
      <c r="A98" s="2">
        <v>45143</v>
      </c>
      <c r="B98" s="3">
        <v>213632</v>
      </c>
      <c r="C98" s="3">
        <v>29700</v>
      </c>
      <c r="D98" s="3">
        <f t="shared" si="17"/>
        <v>243332</v>
      </c>
      <c r="E98" s="4">
        <f t="shared" si="18"/>
        <v>2472.5925925925926</v>
      </c>
      <c r="F98" s="4">
        <f t="shared" si="18"/>
        <v>343.75</v>
      </c>
      <c r="G98" s="4">
        <f t="shared" si="19"/>
        <v>2816.3425925925926</v>
      </c>
      <c r="H98" s="3">
        <v>160269</v>
      </c>
      <c r="I98" s="3">
        <v>69706</v>
      </c>
      <c r="J98" s="4">
        <f t="shared" si="14"/>
        <v>229975</v>
      </c>
      <c r="K98" s="4">
        <f t="shared" si="20"/>
        <v>1854.9652777777776</v>
      </c>
      <c r="L98" s="4">
        <f t="shared" si="21"/>
        <v>806.78240740740739</v>
      </c>
      <c r="M98" s="4">
        <f t="shared" si="15"/>
        <v>2661.7476851851852</v>
      </c>
      <c r="N98" s="5">
        <f t="shared" si="16"/>
        <v>5.4892081600447125E-2</v>
      </c>
      <c r="O98" s="7">
        <v>45.906777571383955</v>
      </c>
      <c r="P98" s="7">
        <v>20.566372437397327</v>
      </c>
      <c r="Q98" s="3">
        <v>24419.999999998254</v>
      </c>
      <c r="R98" s="3">
        <v>8519.9999999990723</v>
      </c>
      <c r="S98" s="3">
        <v>93.999999999996362</v>
      </c>
      <c r="T98" s="3">
        <f t="shared" si="22"/>
        <v>33033.999999997322</v>
      </c>
      <c r="U98" s="6">
        <f t="shared" si="23"/>
        <v>0.10035671428335877</v>
      </c>
      <c r="V98" s="6">
        <f t="shared" si="24"/>
        <v>3.5013890487067351E-2</v>
      </c>
      <c r="W98" s="6">
        <f t="shared" si="25"/>
        <v>3.8630348659443212E-4</v>
      </c>
      <c r="X98" s="6">
        <f t="shared" si="26"/>
        <v>0.13575690825702055</v>
      </c>
      <c r="Y98" s="6">
        <f t="shared" si="27"/>
        <v>0.15463039245055668</v>
      </c>
    </row>
    <row r="99" spans="1:25" x14ac:dyDescent="0.35">
      <c r="A99" s="2">
        <v>45144</v>
      </c>
      <c r="B99" s="3">
        <v>213687</v>
      </c>
      <c r="C99" s="3">
        <v>26100</v>
      </c>
      <c r="D99" s="3">
        <f t="shared" si="17"/>
        <v>239787</v>
      </c>
      <c r="E99" s="4">
        <f t="shared" si="18"/>
        <v>2473.2291666666665</v>
      </c>
      <c r="F99" s="4">
        <f t="shared" si="18"/>
        <v>302.08333333333331</v>
      </c>
      <c r="G99" s="4">
        <f t="shared" si="19"/>
        <v>2775.3125</v>
      </c>
      <c r="H99" s="3">
        <v>159586</v>
      </c>
      <c r="I99" s="3">
        <v>69160</v>
      </c>
      <c r="J99" s="4">
        <f t="shared" si="14"/>
        <v>228746</v>
      </c>
      <c r="K99" s="4">
        <f t="shared" si="20"/>
        <v>1847.060185185185</v>
      </c>
      <c r="L99" s="4">
        <f t="shared" si="21"/>
        <v>800.46296296296293</v>
      </c>
      <c r="M99" s="4">
        <f t="shared" si="15"/>
        <v>2647.5231481481478</v>
      </c>
      <c r="N99" s="5">
        <f t="shared" si="16"/>
        <v>4.6045031632240281E-2</v>
      </c>
      <c r="O99" s="7">
        <v>51.527030239337414</v>
      </c>
      <c r="P99" s="7">
        <v>20.870424743362928</v>
      </c>
      <c r="Q99" s="3">
        <v>24120.000000001255</v>
      </c>
      <c r="R99" s="3">
        <v>8260.000000000673</v>
      </c>
      <c r="S99" s="3">
        <v>87.599999999998772</v>
      </c>
      <c r="T99" s="3">
        <f t="shared" si="22"/>
        <v>32467.600000001927</v>
      </c>
      <c r="U99" s="6">
        <f t="shared" si="23"/>
        <v>0.10058927297977478</v>
      </c>
      <c r="V99" s="6">
        <f t="shared" si="24"/>
        <v>3.4447238590918909E-2</v>
      </c>
      <c r="W99" s="6">
        <f t="shared" si="25"/>
        <v>3.6532422524990417E-4</v>
      </c>
      <c r="X99" s="6">
        <f t="shared" si="26"/>
        <v>0.13540183579594359</v>
      </c>
      <c r="Y99" s="6">
        <f t="shared" si="27"/>
        <v>0.15193998699032663</v>
      </c>
    </row>
    <row r="100" spans="1:25" x14ac:dyDescent="0.35">
      <c r="A100" s="8">
        <v>45145</v>
      </c>
      <c r="B100" s="3">
        <v>212705</v>
      </c>
      <c r="C100" s="3">
        <v>36000</v>
      </c>
      <c r="D100" s="3">
        <f t="shared" si="17"/>
        <v>248705</v>
      </c>
      <c r="E100" s="4">
        <f t="shared" si="18"/>
        <v>2461.8634259259256</v>
      </c>
      <c r="F100" s="4">
        <f t="shared" si="18"/>
        <v>416.66666666666663</v>
      </c>
      <c r="G100" s="4">
        <f t="shared" si="19"/>
        <v>2878.5300925925922</v>
      </c>
      <c r="H100" s="3">
        <v>162805</v>
      </c>
      <c r="I100" s="3">
        <v>73241</v>
      </c>
      <c r="J100" s="4">
        <f t="shared" si="14"/>
        <v>236046</v>
      </c>
      <c r="K100" s="4">
        <f t="shared" si="20"/>
        <v>1884.3171296296296</v>
      </c>
      <c r="L100" s="4">
        <f t="shared" si="21"/>
        <v>847.69675925925924</v>
      </c>
      <c r="M100" s="4">
        <f t="shared" si="15"/>
        <v>2732.0138888888887</v>
      </c>
      <c r="N100" s="5">
        <f t="shared" si="16"/>
        <v>5.0899660240043422E-2</v>
      </c>
      <c r="O100" s="7">
        <v>52.078776059990751</v>
      </c>
      <c r="P100" s="7">
        <v>20.19034594288874</v>
      </c>
      <c r="Q100" s="3">
        <v>26160.000000000764</v>
      </c>
      <c r="R100" s="3">
        <v>9860.0000000005821</v>
      </c>
      <c r="S100" s="3">
        <v>75.600000000006276</v>
      </c>
      <c r="T100" s="3">
        <f t="shared" si="22"/>
        <v>36095.600000001352</v>
      </c>
      <c r="U100" s="6">
        <f t="shared" si="23"/>
        <v>0.10518485756217512</v>
      </c>
      <c r="V100" s="6">
        <f t="shared" si="24"/>
        <v>3.9645362980239969E-2</v>
      </c>
      <c r="W100" s="6">
        <f t="shared" si="25"/>
        <v>3.0397458836777013E-4</v>
      </c>
      <c r="X100" s="6">
        <f t="shared" si="26"/>
        <v>0.14513419513078285</v>
      </c>
      <c r="Y100" s="6">
        <f t="shared" si="27"/>
        <v>0.16969793845937498</v>
      </c>
    </row>
    <row r="101" spans="1:25" x14ac:dyDescent="0.35">
      <c r="A101" s="2">
        <v>45146</v>
      </c>
      <c r="B101" s="3">
        <v>212823</v>
      </c>
      <c r="C101" s="3">
        <v>33300</v>
      </c>
      <c r="D101" s="3">
        <f t="shared" si="17"/>
        <v>246123</v>
      </c>
      <c r="E101" s="4">
        <f t="shared" si="18"/>
        <v>2463.2291666666665</v>
      </c>
      <c r="F101" s="4">
        <f t="shared" si="18"/>
        <v>385.41666666666663</v>
      </c>
      <c r="G101" s="4">
        <f t="shared" si="19"/>
        <v>2848.645833333333</v>
      </c>
      <c r="H101" s="3">
        <v>161674</v>
      </c>
      <c r="I101" s="3">
        <v>74305</v>
      </c>
      <c r="J101" s="4">
        <f t="shared" si="14"/>
        <v>235979</v>
      </c>
      <c r="K101" s="4">
        <f t="shared" si="20"/>
        <v>1871.2268518518517</v>
      </c>
      <c r="L101" s="4">
        <f t="shared" si="21"/>
        <v>860.01157407407402</v>
      </c>
      <c r="M101" s="4">
        <f t="shared" si="15"/>
        <v>2731.2384259259256</v>
      </c>
      <c r="N101" s="5">
        <f t="shared" si="16"/>
        <v>4.1215164775335912E-2</v>
      </c>
      <c r="O101" s="7">
        <v>54.787646826993004</v>
      </c>
      <c r="P101" s="7">
        <v>21.69022961606407</v>
      </c>
      <c r="Q101" s="3">
        <v>26040.000000000873</v>
      </c>
      <c r="R101" s="3">
        <v>9600.0000000003638</v>
      </c>
      <c r="S101" s="3">
        <v>93.999999999998636</v>
      </c>
      <c r="T101" s="3">
        <f t="shared" si="22"/>
        <v>35734.000000001237</v>
      </c>
      <c r="U101" s="6">
        <f t="shared" si="23"/>
        <v>0.10580075815751017</v>
      </c>
      <c r="V101" s="6">
        <f t="shared" si="24"/>
        <v>3.9004887800003919E-2</v>
      </c>
      <c r="W101" s="6">
        <f t="shared" si="25"/>
        <v>3.8192285970835163E-4</v>
      </c>
      <c r="X101" s="6">
        <f t="shared" si="26"/>
        <v>0.14518756881722245</v>
      </c>
      <c r="Y101" s="6">
        <f t="shared" si="27"/>
        <v>0.16790478472722045</v>
      </c>
    </row>
    <row r="102" spans="1:25" x14ac:dyDescent="0.35">
      <c r="A102" s="2">
        <v>45147</v>
      </c>
      <c r="B102" s="3">
        <v>213012</v>
      </c>
      <c r="C102" s="3">
        <v>36000</v>
      </c>
      <c r="D102" s="3">
        <f t="shared" si="17"/>
        <v>249012</v>
      </c>
      <c r="E102" s="4">
        <f t="shared" si="18"/>
        <v>2465.4166666666665</v>
      </c>
      <c r="F102" s="4">
        <f t="shared" si="18"/>
        <v>416.66666666666663</v>
      </c>
      <c r="G102" s="4">
        <f t="shared" si="19"/>
        <v>2882.083333333333</v>
      </c>
      <c r="H102" s="3">
        <v>163288</v>
      </c>
      <c r="I102" s="3">
        <v>74175</v>
      </c>
      <c r="J102" s="4">
        <f t="shared" si="14"/>
        <v>237463</v>
      </c>
      <c r="K102" s="4">
        <f t="shared" si="20"/>
        <v>1889.9074074074074</v>
      </c>
      <c r="L102" s="4">
        <f t="shared" si="21"/>
        <v>858.50694444444434</v>
      </c>
      <c r="M102" s="4">
        <f t="shared" si="15"/>
        <v>2748.4143518518517</v>
      </c>
      <c r="N102" s="5">
        <f t="shared" si="16"/>
        <v>4.6379290957865485E-2</v>
      </c>
      <c r="O102" s="7">
        <v>53.362568872182869</v>
      </c>
      <c r="P102" s="7">
        <v>21.143035013201096</v>
      </c>
      <c r="Q102" s="3">
        <v>26099.999999996726</v>
      </c>
      <c r="R102" s="3">
        <v>6939.9999999995998</v>
      </c>
      <c r="S102" s="3">
        <v>78.000000000000682</v>
      </c>
      <c r="T102" s="3">
        <f t="shared" si="22"/>
        <v>33117.999999996326</v>
      </c>
      <c r="U102" s="6">
        <f t="shared" si="23"/>
        <v>0.10481422582042924</v>
      </c>
      <c r="V102" s="6">
        <f t="shared" si="24"/>
        <v>2.7870142804361234E-2</v>
      </c>
      <c r="W102" s="6">
        <f t="shared" si="25"/>
        <v>3.13237916245003E-4</v>
      </c>
      <c r="X102" s="6">
        <f t="shared" si="26"/>
        <v>0.13299760654103548</v>
      </c>
      <c r="Y102" s="6">
        <f t="shared" si="27"/>
        <v>0.15547480893093499</v>
      </c>
    </row>
    <row r="103" spans="1:25" x14ac:dyDescent="0.35">
      <c r="A103" s="2">
        <v>45148</v>
      </c>
      <c r="B103" s="3">
        <v>212739</v>
      </c>
      <c r="C103" s="3">
        <v>36000</v>
      </c>
      <c r="D103" s="3">
        <f t="shared" si="17"/>
        <v>248739</v>
      </c>
      <c r="E103" s="4">
        <f t="shared" si="18"/>
        <v>2462.2569444444443</v>
      </c>
      <c r="F103" s="4">
        <f t="shared" si="18"/>
        <v>416.66666666666663</v>
      </c>
      <c r="G103" s="4">
        <f t="shared" si="19"/>
        <v>2878.9236111111109</v>
      </c>
      <c r="H103" s="3">
        <v>163110</v>
      </c>
      <c r="I103" s="3">
        <v>73855</v>
      </c>
      <c r="J103" s="4">
        <f t="shared" si="14"/>
        <v>236965</v>
      </c>
      <c r="K103" s="4">
        <f t="shared" si="20"/>
        <v>1887.8472222222222</v>
      </c>
      <c r="L103" s="4">
        <f t="shared" si="21"/>
        <v>854.80324074074065</v>
      </c>
      <c r="M103" s="4">
        <f t="shared" si="15"/>
        <v>2742.6504629629626</v>
      </c>
      <c r="N103" s="5">
        <f t="shared" si="16"/>
        <v>4.7334756511845752E-2</v>
      </c>
      <c r="O103" s="7">
        <v>50.253639356916288</v>
      </c>
      <c r="P103" s="7">
        <v>23.39666127075737</v>
      </c>
      <c r="Q103" s="3">
        <v>26280.000000002019</v>
      </c>
      <c r="R103" s="3">
        <v>8079.9999999994725</v>
      </c>
      <c r="S103" s="3">
        <v>113.59999999999445</v>
      </c>
      <c r="T103" s="3">
        <f t="shared" si="22"/>
        <v>34473.600000001483</v>
      </c>
      <c r="U103" s="6">
        <f t="shared" si="23"/>
        <v>0.10565291329466638</v>
      </c>
      <c r="V103" s="6">
        <f t="shared" si="24"/>
        <v>3.2483848531993265E-2</v>
      </c>
      <c r="W103" s="6">
        <f t="shared" si="25"/>
        <v>4.5670361302407121E-4</v>
      </c>
      <c r="X103" s="6">
        <f t="shared" si="26"/>
        <v>0.13859346543968371</v>
      </c>
      <c r="Y103" s="6">
        <f t="shared" si="27"/>
        <v>0.16204645128538483</v>
      </c>
    </row>
    <row r="104" spans="1:25" x14ac:dyDescent="0.35">
      <c r="A104" s="2">
        <v>45149</v>
      </c>
      <c r="B104" s="3">
        <v>212655</v>
      </c>
      <c r="C104" s="3">
        <v>35280</v>
      </c>
      <c r="D104" s="3">
        <f t="shared" si="17"/>
        <v>247935</v>
      </c>
      <c r="E104" s="4">
        <f t="shared" si="18"/>
        <v>2461.2847222222222</v>
      </c>
      <c r="F104" s="4">
        <f t="shared" si="18"/>
        <v>408.33333333333331</v>
      </c>
      <c r="G104" s="4">
        <f t="shared" si="19"/>
        <v>2869.6180555555557</v>
      </c>
      <c r="H104" s="3">
        <v>162146</v>
      </c>
      <c r="I104" s="3">
        <v>73099</v>
      </c>
      <c r="J104" s="4">
        <f t="shared" si="14"/>
        <v>235245</v>
      </c>
      <c r="K104" s="4">
        <f t="shared" si="20"/>
        <v>1876.6898148148148</v>
      </c>
      <c r="L104" s="4">
        <f t="shared" si="21"/>
        <v>846.05324074074065</v>
      </c>
      <c r="M104" s="4">
        <f t="shared" si="15"/>
        <v>2722.7430555555557</v>
      </c>
      <c r="N104" s="5">
        <f t="shared" si="16"/>
        <v>5.1182769677536454E-2</v>
      </c>
      <c r="O104" s="7">
        <v>48.037977695767033</v>
      </c>
      <c r="P104" s="7">
        <v>21.645875465115861</v>
      </c>
      <c r="Q104" s="3">
        <v>25859.999999998308</v>
      </c>
      <c r="R104" s="3">
        <v>7760.0000000002183</v>
      </c>
      <c r="S104" s="3">
        <v>108.80000000000337</v>
      </c>
      <c r="T104" s="3">
        <f t="shared" si="22"/>
        <v>33728.799999998533</v>
      </c>
      <c r="U104" s="6">
        <f t="shared" si="23"/>
        <v>0.10430153064310528</v>
      </c>
      <c r="V104" s="6">
        <f t="shared" si="24"/>
        <v>3.1298525823301344E-2</v>
      </c>
      <c r="W104" s="6">
        <f t="shared" si="25"/>
        <v>4.3882469195556645E-4</v>
      </c>
      <c r="X104" s="6">
        <f t="shared" si="26"/>
        <v>0.13603888115836221</v>
      </c>
      <c r="Y104" s="6">
        <f t="shared" si="27"/>
        <v>0.15860807411064182</v>
      </c>
    </row>
    <row r="105" spans="1:25" x14ac:dyDescent="0.35">
      <c r="A105" s="2">
        <v>45150</v>
      </c>
      <c r="B105" s="3">
        <v>212352</v>
      </c>
      <c r="C105" s="3">
        <v>29422.799999999996</v>
      </c>
      <c r="D105" s="3">
        <f t="shared" si="17"/>
        <v>241774.8</v>
      </c>
      <c r="E105" s="4">
        <f t="shared" si="18"/>
        <v>2457.7777777777778</v>
      </c>
      <c r="F105" s="4">
        <f t="shared" si="18"/>
        <v>340.54166666666657</v>
      </c>
      <c r="G105" s="4">
        <f t="shared" si="19"/>
        <v>2798.3194444444443</v>
      </c>
      <c r="H105" s="3">
        <v>159803</v>
      </c>
      <c r="I105" s="3">
        <v>68853</v>
      </c>
      <c r="J105" s="4">
        <f t="shared" si="14"/>
        <v>228656</v>
      </c>
      <c r="K105" s="4">
        <f t="shared" si="20"/>
        <v>1849.5717592592591</v>
      </c>
      <c r="L105" s="4">
        <f t="shared" si="21"/>
        <v>796.90972222222217</v>
      </c>
      <c r="M105" s="4">
        <f t="shared" si="15"/>
        <v>2646.4814814814813</v>
      </c>
      <c r="N105" s="5">
        <f t="shared" si="16"/>
        <v>5.4260410927855135E-2</v>
      </c>
      <c r="O105" s="7">
        <v>47.64221912291935</v>
      </c>
      <c r="P105" s="7">
        <v>21.705678114170102</v>
      </c>
      <c r="Q105" s="3">
        <v>23489.999999999782</v>
      </c>
      <c r="R105" s="3">
        <v>7559.9999999994907</v>
      </c>
      <c r="S105" s="3">
        <v>149.59999999999695</v>
      </c>
      <c r="T105" s="3">
        <f t="shared" si="22"/>
        <v>31199.599999999271</v>
      </c>
      <c r="U105" s="6">
        <f t="shared" si="23"/>
        <v>9.7156527479289753E-2</v>
      </c>
      <c r="V105" s="6">
        <f t="shared" si="24"/>
        <v>3.1268767464597183E-2</v>
      </c>
      <c r="W105" s="6">
        <f t="shared" si="25"/>
        <v>6.1875762072803684E-4</v>
      </c>
      <c r="X105" s="6">
        <f t="shared" si="26"/>
        <v>0.12904405256461499</v>
      </c>
      <c r="Y105" s="6">
        <f t="shared" si="27"/>
        <v>0.14692397528631362</v>
      </c>
    </row>
    <row r="106" spans="1:25" x14ac:dyDescent="0.35">
      <c r="A106" s="2">
        <v>45151</v>
      </c>
      <c r="B106" s="3">
        <v>212169</v>
      </c>
      <c r="C106" s="3">
        <v>32572.799999999996</v>
      </c>
      <c r="D106" s="3">
        <f t="shared" si="17"/>
        <v>244741.8</v>
      </c>
      <c r="E106" s="4">
        <f t="shared" si="18"/>
        <v>2455.6597222222222</v>
      </c>
      <c r="F106" s="4">
        <f t="shared" si="18"/>
        <v>376.99999999999994</v>
      </c>
      <c r="G106" s="4">
        <f t="shared" si="19"/>
        <v>2832.6597222222222</v>
      </c>
      <c r="H106" s="3">
        <v>160639</v>
      </c>
      <c r="I106" s="3">
        <v>68235</v>
      </c>
      <c r="J106" s="4">
        <f t="shared" si="14"/>
        <v>228874</v>
      </c>
      <c r="K106" s="4">
        <f t="shared" si="20"/>
        <v>1859.247685185185</v>
      </c>
      <c r="L106" s="4">
        <f t="shared" si="21"/>
        <v>789.75694444444434</v>
      </c>
      <c r="M106" s="4">
        <f t="shared" si="15"/>
        <v>2649.0046296296296</v>
      </c>
      <c r="N106" s="5">
        <f t="shared" si="16"/>
        <v>6.4834858614262011E-2</v>
      </c>
      <c r="O106" s="7">
        <v>50.718806513640089</v>
      </c>
      <c r="P106" s="7">
        <v>24.079487349174617</v>
      </c>
      <c r="Q106" s="3">
        <v>25620.000000001255</v>
      </c>
      <c r="R106" s="3">
        <v>7860.0000000014916</v>
      </c>
      <c r="S106" s="3">
        <v>136.79999999999723</v>
      </c>
      <c r="T106" s="3">
        <f t="shared" si="22"/>
        <v>33616.800000002746</v>
      </c>
      <c r="U106" s="6">
        <f t="shared" si="23"/>
        <v>0.10468175031809546</v>
      </c>
      <c r="V106" s="6">
        <f t="shared" si="24"/>
        <v>3.2115478434830064E-2</v>
      </c>
      <c r="W106" s="6">
        <f t="shared" si="25"/>
        <v>5.5895641856028365E-4</v>
      </c>
      <c r="X106" s="6">
        <f t="shared" si="26"/>
        <v>0.13735618517148582</v>
      </c>
      <c r="Y106" s="6">
        <f t="shared" si="27"/>
        <v>0.15844350494182818</v>
      </c>
    </row>
    <row r="107" spans="1:25" x14ac:dyDescent="0.35">
      <c r="A107" s="8">
        <v>45152</v>
      </c>
      <c r="B107" s="3">
        <v>212584</v>
      </c>
      <c r="C107" s="3">
        <v>43199.999999999993</v>
      </c>
      <c r="D107" s="3">
        <f t="shared" si="17"/>
        <v>255784</v>
      </c>
      <c r="E107" s="4">
        <f t="shared" si="18"/>
        <v>2460.4629629629626</v>
      </c>
      <c r="F107" s="4">
        <f t="shared" si="18"/>
        <v>499.99999999999989</v>
      </c>
      <c r="G107" s="4">
        <f t="shared" si="19"/>
        <v>2960.4629629629626</v>
      </c>
      <c r="H107" s="3">
        <v>160385</v>
      </c>
      <c r="I107" s="3">
        <v>72444</v>
      </c>
      <c r="J107" s="4">
        <f t="shared" si="14"/>
        <v>232829</v>
      </c>
      <c r="K107" s="4">
        <f t="shared" si="20"/>
        <v>1856.3078703703702</v>
      </c>
      <c r="L107" s="4">
        <f t="shared" si="21"/>
        <v>838.47222222222217</v>
      </c>
      <c r="M107" s="4">
        <f t="shared" si="15"/>
        <v>2694.7800925925922</v>
      </c>
      <c r="N107" s="5">
        <f t="shared" si="16"/>
        <v>8.974368998842773E-2</v>
      </c>
      <c r="O107" s="7">
        <v>53.579504581991053</v>
      </c>
      <c r="P107" s="7">
        <v>34.65955958955761</v>
      </c>
      <c r="Q107" s="3">
        <v>25859.999999998308</v>
      </c>
      <c r="R107" s="3">
        <v>8819.9999999983447</v>
      </c>
      <c r="S107" s="3">
        <v>139.20000000000414</v>
      </c>
      <c r="T107" s="3">
        <f t="shared" si="22"/>
        <v>34819.199999996657</v>
      </c>
      <c r="U107" s="6">
        <f t="shared" si="23"/>
        <v>0.10110092890876016</v>
      </c>
      <c r="V107" s="6">
        <f t="shared" si="24"/>
        <v>3.4482219372589155E-2</v>
      </c>
      <c r="W107" s="6">
        <f t="shared" si="25"/>
        <v>5.4420917649268183E-4</v>
      </c>
      <c r="X107" s="6">
        <f t="shared" si="26"/>
        <v>0.13612735745784199</v>
      </c>
      <c r="Y107" s="6">
        <f t="shared" si="27"/>
        <v>0.16379031347606901</v>
      </c>
    </row>
    <row r="108" spans="1:25" x14ac:dyDescent="0.35">
      <c r="A108" s="2">
        <v>45153</v>
      </c>
      <c r="B108" s="3">
        <v>213560</v>
      </c>
      <c r="C108" s="3">
        <v>43199.999999999993</v>
      </c>
      <c r="D108" s="3">
        <f t="shared" si="17"/>
        <v>256760</v>
      </c>
      <c r="E108" s="4">
        <f t="shared" si="18"/>
        <v>2471.7592592592591</v>
      </c>
      <c r="F108" s="4">
        <f t="shared" si="18"/>
        <v>499.99999999999989</v>
      </c>
      <c r="G108" s="4">
        <f t="shared" si="19"/>
        <v>2971.7592592592591</v>
      </c>
      <c r="H108" s="3">
        <v>157070</v>
      </c>
      <c r="I108" s="3">
        <v>71664</v>
      </c>
      <c r="J108" s="4">
        <f t="shared" si="14"/>
        <v>228734</v>
      </c>
      <c r="K108" s="4">
        <f t="shared" si="20"/>
        <v>1817.9398148148148</v>
      </c>
      <c r="L108" s="4">
        <f t="shared" si="21"/>
        <v>829.44444444444434</v>
      </c>
      <c r="M108" s="4">
        <f t="shared" si="15"/>
        <v>2647.3842592592591</v>
      </c>
      <c r="N108" s="5">
        <f t="shared" si="16"/>
        <v>0.10915251596821934</v>
      </c>
      <c r="O108" s="7">
        <v>55.289889390870854</v>
      </c>
      <c r="P108" s="7">
        <v>23.966622424383427</v>
      </c>
      <c r="Q108" s="3">
        <v>26160.000000000764</v>
      </c>
      <c r="R108" s="3">
        <v>10159.999999999854</v>
      </c>
      <c r="S108" s="3">
        <v>135.60000000000059</v>
      </c>
      <c r="T108" s="3">
        <f t="shared" si="22"/>
        <v>36455.600000000617</v>
      </c>
      <c r="U108" s="6">
        <f t="shared" si="23"/>
        <v>0.10188502882069156</v>
      </c>
      <c r="V108" s="6">
        <f t="shared" si="24"/>
        <v>3.9570026483875427E-2</v>
      </c>
      <c r="W108" s="6">
        <f t="shared" si="25"/>
        <v>5.2811964480448895E-4</v>
      </c>
      <c r="X108" s="6">
        <f t="shared" si="26"/>
        <v>0.14198317494937146</v>
      </c>
      <c r="Y108" s="6">
        <f t="shared" si="27"/>
        <v>0.17070425173253706</v>
      </c>
    </row>
    <row r="109" spans="1:25" x14ac:dyDescent="0.35">
      <c r="A109" s="2">
        <v>45154</v>
      </c>
      <c r="B109" s="3">
        <v>213557</v>
      </c>
      <c r="C109" s="3">
        <v>28314</v>
      </c>
      <c r="D109" s="3">
        <f t="shared" si="17"/>
        <v>241871</v>
      </c>
      <c r="E109" s="4">
        <f t="shared" si="18"/>
        <v>2471.724537037037</v>
      </c>
      <c r="F109" s="4">
        <f t="shared" si="18"/>
        <v>327.70833333333331</v>
      </c>
      <c r="G109" s="4">
        <f t="shared" si="19"/>
        <v>2799.4328703703704</v>
      </c>
      <c r="H109" s="3">
        <v>143349</v>
      </c>
      <c r="I109" s="3">
        <v>71540</v>
      </c>
      <c r="J109" s="4">
        <f t="shared" si="14"/>
        <v>214889</v>
      </c>
      <c r="K109" s="4">
        <f t="shared" si="20"/>
        <v>1659.1319444444443</v>
      </c>
      <c r="L109" s="4">
        <f t="shared" si="21"/>
        <v>828.00925925925924</v>
      </c>
      <c r="M109" s="4">
        <f t="shared" si="15"/>
        <v>2487.1412037037035</v>
      </c>
      <c r="N109" s="5">
        <f t="shared" si="16"/>
        <v>0.11155533321481285</v>
      </c>
      <c r="O109" s="7">
        <v>56.242294446213066</v>
      </c>
      <c r="P109" s="7">
        <v>35.15529846301817</v>
      </c>
      <c r="Q109" s="3">
        <v>23910.000000000764</v>
      </c>
      <c r="R109" s="3">
        <v>9880.0000000005639</v>
      </c>
      <c r="S109" s="3">
        <v>135.600000000004</v>
      </c>
      <c r="T109" s="3">
        <f t="shared" si="22"/>
        <v>33925.60000000133</v>
      </c>
      <c r="U109" s="6">
        <f t="shared" si="23"/>
        <v>9.8854347978884469E-2</v>
      </c>
      <c r="V109" s="6">
        <f t="shared" si="24"/>
        <v>4.0848220745771768E-2</v>
      </c>
      <c r="W109" s="6">
        <f t="shared" si="25"/>
        <v>5.6062942642980769E-4</v>
      </c>
      <c r="X109" s="6">
        <f t="shared" si="26"/>
        <v>0.14026319815108604</v>
      </c>
      <c r="Y109" s="6">
        <f t="shared" si="27"/>
        <v>0.15885969553796564</v>
      </c>
    </row>
    <row r="110" spans="1:25" x14ac:dyDescent="0.35">
      <c r="A110" s="2">
        <v>45155</v>
      </c>
      <c r="B110" s="3">
        <v>214341</v>
      </c>
      <c r="C110" s="3">
        <v>14623.2</v>
      </c>
      <c r="D110" s="3">
        <f t="shared" si="17"/>
        <v>228964.2</v>
      </c>
      <c r="E110" s="4">
        <f t="shared" si="18"/>
        <v>2480.7986111111109</v>
      </c>
      <c r="F110" s="4">
        <f t="shared" si="18"/>
        <v>169.25</v>
      </c>
      <c r="G110" s="4">
        <f t="shared" si="19"/>
        <v>2650.0486111111109</v>
      </c>
      <c r="H110" s="3">
        <v>148188</v>
      </c>
      <c r="I110" s="3">
        <v>66584</v>
      </c>
      <c r="J110" s="4">
        <f t="shared" si="14"/>
        <v>214772</v>
      </c>
      <c r="K110" s="4">
        <f t="shared" si="20"/>
        <v>1715.1388888888887</v>
      </c>
      <c r="L110" s="4">
        <f t="shared" si="21"/>
        <v>770.64814814814815</v>
      </c>
      <c r="M110" s="4">
        <f t="shared" si="15"/>
        <v>2485.787037037037</v>
      </c>
      <c r="N110" s="5">
        <f t="shared" si="16"/>
        <v>6.1984362620881389E-2</v>
      </c>
      <c r="O110" s="7">
        <v>60.42567353324231</v>
      </c>
      <c r="P110" s="7">
        <v>24.502518648874307</v>
      </c>
      <c r="Q110" s="3">
        <v>22380.000000001473</v>
      </c>
      <c r="R110" s="3">
        <v>6779.9999999997453</v>
      </c>
      <c r="S110" s="3">
        <v>159.19999999999277</v>
      </c>
      <c r="T110" s="3">
        <f t="shared" si="22"/>
        <v>29319.200000001212</v>
      </c>
      <c r="U110" s="6">
        <f t="shared" si="23"/>
        <v>9.7744538229126959E-2</v>
      </c>
      <c r="V110" s="6">
        <f t="shared" si="24"/>
        <v>2.961161613911583E-2</v>
      </c>
      <c r="W110" s="6">
        <f t="shared" si="25"/>
        <v>6.9530520491846654E-4</v>
      </c>
      <c r="X110" s="6">
        <f t="shared" si="26"/>
        <v>0.12805145957316127</v>
      </c>
      <c r="Y110" s="6">
        <f t="shared" si="27"/>
        <v>0.1367876421216716</v>
      </c>
    </row>
    <row r="111" spans="1:25" x14ac:dyDescent="0.35">
      <c r="A111" s="2">
        <v>45156</v>
      </c>
      <c r="B111" s="3">
        <v>215074</v>
      </c>
      <c r="C111" s="3">
        <v>18716.400000000001</v>
      </c>
      <c r="D111" s="3">
        <f t="shared" si="17"/>
        <v>233790.4</v>
      </c>
      <c r="E111" s="4">
        <f t="shared" si="18"/>
        <v>2489.2824074074074</v>
      </c>
      <c r="F111" s="4">
        <f t="shared" si="18"/>
        <v>216.625</v>
      </c>
      <c r="G111" s="4">
        <f t="shared" si="19"/>
        <v>2705.9074074074074</v>
      </c>
      <c r="H111" s="3">
        <v>153009</v>
      </c>
      <c r="I111" s="3">
        <v>71841</v>
      </c>
      <c r="J111" s="4">
        <f t="shared" si="14"/>
        <v>224850</v>
      </c>
      <c r="K111" s="4">
        <f t="shared" si="20"/>
        <v>1770.9374999999998</v>
      </c>
      <c r="L111" s="4">
        <f t="shared" si="21"/>
        <v>831.49305555555554</v>
      </c>
      <c r="M111" s="4">
        <f t="shared" si="15"/>
        <v>2602.4305555555552</v>
      </c>
      <c r="N111" s="5">
        <f t="shared" si="16"/>
        <v>3.824109116541994E-2</v>
      </c>
      <c r="O111" s="7">
        <v>52.160721740499184</v>
      </c>
      <c r="P111" s="7">
        <v>26.20023843594829</v>
      </c>
      <c r="Q111" s="3">
        <v>24059.999999997217</v>
      </c>
      <c r="R111" s="3">
        <v>7179.9999999998363</v>
      </c>
      <c r="S111" s="3">
        <v>135.59999999999945</v>
      </c>
      <c r="T111" s="3">
        <f t="shared" si="22"/>
        <v>31375.599999997052</v>
      </c>
      <c r="U111" s="6">
        <f t="shared" si="23"/>
        <v>0.10291269444766431</v>
      </c>
      <c r="V111" s="6">
        <f t="shared" si="24"/>
        <v>3.0711269581641661E-2</v>
      </c>
      <c r="W111" s="6">
        <f t="shared" si="25"/>
        <v>5.8000670686221274E-4</v>
      </c>
      <c r="X111" s="6">
        <f t="shared" si="26"/>
        <v>0.13420397073616819</v>
      </c>
      <c r="Y111" s="6">
        <f t="shared" si="27"/>
        <v>0.14588281242733689</v>
      </c>
    </row>
    <row r="112" spans="1:25" x14ac:dyDescent="0.35">
      <c r="A112" s="2">
        <v>45157</v>
      </c>
      <c r="B112" s="3">
        <v>214409</v>
      </c>
      <c r="C112" s="3">
        <v>16768.8</v>
      </c>
      <c r="D112" s="3">
        <f t="shared" si="17"/>
        <v>231177.8</v>
      </c>
      <c r="E112" s="4">
        <f t="shared" si="18"/>
        <v>2481.5856481481478</v>
      </c>
      <c r="F112" s="4">
        <f t="shared" si="18"/>
        <v>194.08333333333331</v>
      </c>
      <c r="G112" s="4">
        <f t="shared" si="19"/>
        <v>2675.6689814814813</v>
      </c>
      <c r="H112" s="3">
        <v>157414</v>
      </c>
      <c r="I112" s="3">
        <v>66559</v>
      </c>
      <c r="J112" s="4">
        <f t="shared" si="14"/>
        <v>223973</v>
      </c>
      <c r="K112" s="4">
        <f t="shared" si="20"/>
        <v>1821.9212962962961</v>
      </c>
      <c r="L112" s="4">
        <f t="shared" si="21"/>
        <v>770.35879629629619</v>
      </c>
      <c r="M112" s="4">
        <f t="shared" si="15"/>
        <v>2592.2800925925922</v>
      </c>
      <c r="N112" s="5">
        <f t="shared" si="16"/>
        <v>3.1165622304563798E-2</v>
      </c>
      <c r="O112" s="7">
        <v>52.740116049205419</v>
      </c>
      <c r="P112" s="7">
        <v>27.965631733770671</v>
      </c>
      <c r="Q112" s="3">
        <v>23850.000000000819</v>
      </c>
      <c r="R112" s="3">
        <v>5900.0000000010004</v>
      </c>
      <c r="S112" s="3">
        <v>132.00000000000387</v>
      </c>
      <c r="T112" s="3">
        <f t="shared" si="22"/>
        <v>29882.000000001823</v>
      </c>
      <c r="U112" s="6">
        <f t="shared" si="23"/>
        <v>0.10316734565343566</v>
      </c>
      <c r="V112" s="6">
        <f t="shared" si="24"/>
        <v>2.5521481733977055E-2</v>
      </c>
      <c r="W112" s="6">
        <f t="shared" si="25"/>
        <v>5.7098908286177944E-4</v>
      </c>
      <c r="X112" s="6">
        <f t="shared" si="26"/>
        <v>0.12925981647027449</v>
      </c>
      <c r="Y112" s="6">
        <f t="shared" si="27"/>
        <v>0.13936914961592947</v>
      </c>
    </row>
    <row r="113" spans="1:25" x14ac:dyDescent="0.35">
      <c r="A113" s="2">
        <v>45158</v>
      </c>
      <c r="B113" s="3">
        <v>214298</v>
      </c>
      <c r="C113" s="3">
        <v>15782.400000000001</v>
      </c>
      <c r="D113" s="3">
        <f t="shared" si="17"/>
        <v>230080.4</v>
      </c>
      <c r="E113" s="4">
        <f t="shared" si="18"/>
        <v>2480.3009259259256</v>
      </c>
      <c r="F113" s="4">
        <f t="shared" si="18"/>
        <v>182.66666666666669</v>
      </c>
      <c r="G113" s="4">
        <f t="shared" si="19"/>
        <v>2662.9675925925922</v>
      </c>
      <c r="H113" s="3">
        <v>156811</v>
      </c>
      <c r="I113" s="3">
        <v>66903</v>
      </c>
      <c r="J113" s="4">
        <f t="shared" si="14"/>
        <v>223714</v>
      </c>
      <c r="K113" s="4">
        <f t="shared" si="20"/>
        <v>1814.9421296296296</v>
      </c>
      <c r="L113" s="4">
        <f t="shared" si="21"/>
        <v>774.34027777777771</v>
      </c>
      <c r="M113" s="4">
        <f t="shared" si="15"/>
        <v>2589.2824074074074</v>
      </c>
      <c r="N113" s="5">
        <f t="shared" si="16"/>
        <v>2.7670327415981518E-2</v>
      </c>
      <c r="O113" s="7">
        <v>48.589623453366734</v>
      </c>
      <c r="P113" s="7">
        <v>23.965361810993514</v>
      </c>
      <c r="Q113" s="3">
        <v>23430.000000001201</v>
      </c>
      <c r="R113" s="3">
        <v>5799.9999999997272</v>
      </c>
      <c r="S113" s="3">
        <v>146.79999999999609</v>
      </c>
      <c r="T113" s="3">
        <f t="shared" si="22"/>
        <v>29376.800000000923</v>
      </c>
      <c r="U113" s="6">
        <f t="shared" si="23"/>
        <v>0.10183396760437309</v>
      </c>
      <c r="V113" s="6">
        <f t="shared" si="24"/>
        <v>2.5208579261856844E-2</v>
      </c>
      <c r="W113" s="6">
        <f t="shared" si="25"/>
        <v>6.3803783373114829E-4</v>
      </c>
      <c r="X113" s="6">
        <f t="shared" si="26"/>
        <v>0.12768058469996107</v>
      </c>
      <c r="Y113" s="6">
        <f t="shared" si="27"/>
        <v>0.13708387385790313</v>
      </c>
    </row>
    <row r="114" spans="1:25" x14ac:dyDescent="0.35">
      <c r="A114" s="8">
        <v>45159</v>
      </c>
      <c r="B114" s="3">
        <v>213624</v>
      </c>
      <c r="C114" s="3">
        <v>23756.399999999998</v>
      </c>
      <c r="D114" s="3">
        <f t="shared" si="17"/>
        <v>237380.4</v>
      </c>
      <c r="E114" s="4">
        <f t="shared" si="18"/>
        <v>2472.5</v>
      </c>
      <c r="F114" s="4">
        <f t="shared" si="18"/>
        <v>274.95833333333331</v>
      </c>
      <c r="G114" s="4">
        <f t="shared" si="19"/>
        <v>2747.4583333333335</v>
      </c>
      <c r="H114" s="3">
        <v>160477</v>
      </c>
      <c r="I114" s="3">
        <v>71152</v>
      </c>
      <c r="J114" s="4">
        <f t="shared" si="14"/>
        <v>231629</v>
      </c>
      <c r="K114" s="4">
        <f t="shared" si="20"/>
        <v>1857.372685185185</v>
      </c>
      <c r="L114" s="4">
        <f t="shared" si="21"/>
        <v>823.51851851851848</v>
      </c>
      <c r="M114" s="4">
        <f t="shared" si="15"/>
        <v>2680.8912037037035</v>
      </c>
      <c r="N114" s="5">
        <f t="shared" si="16"/>
        <v>2.4228622076633094E-2</v>
      </c>
      <c r="O114" s="7">
        <v>46.270526125998607</v>
      </c>
      <c r="P114" s="7">
        <v>25.207790852955458</v>
      </c>
      <c r="Q114" s="3">
        <v>25769.999999999072</v>
      </c>
      <c r="R114" s="3">
        <v>7879.9999999991996</v>
      </c>
      <c r="S114" s="3">
        <v>131.20000000000687</v>
      </c>
      <c r="T114" s="3">
        <f t="shared" si="22"/>
        <v>33781.199999998273</v>
      </c>
      <c r="U114" s="6">
        <f t="shared" si="23"/>
        <v>0.10855993165399955</v>
      </c>
      <c r="V114" s="6">
        <f t="shared" si="24"/>
        <v>3.3195664005955E-2</v>
      </c>
      <c r="W114" s="6">
        <f t="shared" si="25"/>
        <v>5.5269938040380278E-4</v>
      </c>
      <c r="X114" s="6">
        <f t="shared" si="26"/>
        <v>0.14230829504035833</v>
      </c>
      <c r="Y114" s="6">
        <f t="shared" si="27"/>
        <v>0.15813391753734726</v>
      </c>
    </row>
    <row r="115" spans="1:25" x14ac:dyDescent="0.35">
      <c r="A115" s="2">
        <v>45160</v>
      </c>
      <c r="B115" s="3">
        <v>214018</v>
      </c>
      <c r="C115" s="3">
        <v>22536</v>
      </c>
      <c r="D115" s="3">
        <f t="shared" si="17"/>
        <v>236554</v>
      </c>
      <c r="E115" s="4">
        <f t="shared" si="18"/>
        <v>2477.0601851851852</v>
      </c>
      <c r="F115" s="4">
        <f t="shared" si="18"/>
        <v>260.83333333333331</v>
      </c>
      <c r="G115" s="4">
        <f t="shared" si="19"/>
        <v>2737.8935185185187</v>
      </c>
      <c r="H115" s="3">
        <v>160434</v>
      </c>
      <c r="I115" s="3">
        <v>71919</v>
      </c>
      <c r="J115" s="4">
        <f t="shared" si="14"/>
        <v>232353</v>
      </c>
      <c r="K115" s="4">
        <f t="shared" si="20"/>
        <v>1856.8749999999998</v>
      </c>
      <c r="L115" s="4">
        <f t="shared" si="21"/>
        <v>832.39583333333326</v>
      </c>
      <c r="M115" s="4">
        <f t="shared" si="15"/>
        <v>2689.270833333333</v>
      </c>
      <c r="N115" s="5">
        <f t="shared" si="16"/>
        <v>1.7759158585354717E-2</v>
      </c>
      <c r="O115" s="7">
        <v>49.573949288534543</v>
      </c>
      <c r="P115" s="7">
        <v>25.559103312641628</v>
      </c>
      <c r="Q115" s="3">
        <v>25799.999999999727</v>
      </c>
      <c r="R115" s="3">
        <v>7180.000000000291</v>
      </c>
      <c r="S115" s="3">
        <v>155.19999999999754</v>
      </c>
      <c r="T115" s="3">
        <f t="shared" si="22"/>
        <v>33135.200000000012</v>
      </c>
      <c r="U115" s="6">
        <f t="shared" si="23"/>
        <v>0.10906600607049438</v>
      </c>
      <c r="V115" s="6">
        <f t="shared" si="24"/>
        <v>3.0352477658379444E-2</v>
      </c>
      <c r="W115" s="6">
        <f t="shared" si="25"/>
        <v>6.5608698225351318E-4</v>
      </c>
      <c r="X115" s="6">
        <f t="shared" si="26"/>
        <v>0.14007457071112731</v>
      </c>
      <c r="Y115" s="6">
        <f t="shared" si="27"/>
        <v>0.15482436056780277</v>
      </c>
    </row>
    <row r="116" spans="1:25" x14ac:dyDescent="0.35">
      <c r="A116" s="2">
        <v>45161</v>
      </c>
      <c r="B116" s="3">
        <v>214099</v>
      </c>
      <c r="C116" s="3">
        <v>20023.2</v>
      </c>
      <c r="D116" s="3">
        <f t="shared" si="17"/>
        <v>234122.2</v>
      </c>
      <c r="E116" s="4">
        <f t="shared" si="18"/>
        <v>2477.9976851851852</v>
      </c>
      <c r="F116" s="4">
        <f t="shared" si="18"/>
        <v>231.75</v>
      </c>
      <c r="G116" s="4">
        <f t="shared" si="19"/>
        <v>2709.7476851851852</v>
      </c>
      <c r="H116" s="3">
        <v>153197</v>
      </c>
      <c r="I116" s="3">
        <v>72693</v>
      </c>
      <c r="J116" s="4">
        <f t="shared" si="14"/>
        <v>225890</v>
      </c>
      <c r="K116" s="4">
        <f t="shared" si="20"/>
        <v>1773.1134259259259</v>
      </c>
      <c r="L116" s="4">
        <f t="shared" si="21"/>
        <v>841.35416666666663</v>
      </c>
      <c r="M116" s="4">
        <f t="shared" si="15"/>
        <v>2614.4675925925926</v>
      </c>
      <c r="N116" s="5">
        <f t="shared" si="16"/>
        <v>3.5161979513262782E-2</v>
      </c>
      <c r="O116" s="7">
        <v>43.277057878321664</v>
      </c>
      <c r="P116" s="7">
        <v>27.396303598954535</v>
      </c>
      <c r="Q116" s="3">
        <v>24629.999999998745</v>
      </c>
      <c r="R116" s="3">
        <v>7960.0000000004911</v>
      </c>
      <c r="S116" s="3">
        <v>160.80000000000155</v>
      </c>
      <c r="T116" s="3">
        <f t="shared" si="22"/>
        <v>32750.799999999239</v>
      </c>
      <c r="U116" s="6">
        <f t="shared" si="23"/>
        <v>0.10520147171006741</v>
      </c>
      <c r="V116" s="6">
        <f t="shared" si="24"/>
        <v>3.3999338806830322E-2</v>
      </c>
      <c r="W116" s="6">
        <f t="shared" si="25"/>
        <v>6.8682081408769243E-4</v>
      </c>
      <c r="X116" s="6">
        <f t="shared" si="26"/>
        <v>0.13988763133098542</v>
      </c>
      <c r="Y116" s="6">
        <f t="shared" si="27"/>
        <v>0.15297035483584343</v>
      </c>
    </row>
    <row r="117" spans="1:25" x14ac:dyDescent="0.35">
      <c r="A117" s="2">
        <v>45162</v>
      </c>
      <c r="B117" s="3">
        <v>213503</v>
      </c>
      <c r="C117" s="3">
        <v>22809.599999999999</v>
      </c>
      <c r="D117" s="3">
        <f t="shared" si="17"/>
        <v>236312.6</v>
      </c>
      <c r="E117" s="4">
        <f t="shared" si="18"/>
        <v>2471.099537037037</v>
      </c>
      <c r="F117" s="4">
        <f t="shared" si="18"/>
        <v>263.99999999999994</v>
      </c>
      <c r="G117" s="4">
        <f t="shared" si="19"/>
        <v>2735.099537037037</v>
      </c>
      <c r="H117" s="3">
        <v>158393</v>
      </c>
      <c r="I117" s="3">
        <v>71698</v>
      </c>
      <c r="J117" s="4">
        <f t="shared" si="14"/>
        <v>230091</v>
      </c>
      <c r="K117" s="4">
        <f t="shared" si="20"/>
        <v>1833.2523148148148</v>
      </c>
      <c r="L117" s="4">
        <f t="shared" si="21"/>
        <v>829.83796296296293</v>
      </c>
      <c r="M117" s="4">
        <f t="shared" si="15"/>
        <v>2663.0902777777778</v>
      </c>
      <c r="N117" s="5">
        <f t="shared" si="16"/>
        <v>2.6327838634080475E-2</v>
      </c>
      <c r="O117" s="7">
        <v>49.787357931824204</v>
      </c>
      <c r="P117" s="7">
        <v>24.411359269284766</v>
      </c>
      <c r="Q117" s="3">
        <v>25320.000000001528</v>
      </c>
      <c r="R117" s="3">
        <v>8559.9999999990359</v>
      </c>
      <c r="S117" s="3">
        <v>141.59999999999968</v>
      </c>
      <c r="T117" s="3">
        <f t="shared" si="22"/>
        <v>34021.600000000566</v>
      </c>
      <c r="U117" s="6">
        <f t="shared" si="23"/>
        <v>0.10714621226291585</v>
      </c>
      <c r="V117" s="6">
        <f t="shared" si="24"/>
        <v>3.6223206041485032E-2</v>
      </c>
      <c r="W117" s="6">
        <f t="shared" si="25"/>
        <v>5.9920630554612694E-4</v>
      </c>
      <c r="X117" s="6">
        <f t="shared" si="26"/>
        <v>0.14396862460994703</v>
      </c>
      <c r="Y117" s="6">
        <f t="shared" si="27"/>
        <v>0.15934951733699557</v>
      </c>
    </row>
    <row r="118" spans="1:25" x14ac:dyDescent="0.35">
      <c r="A118" s="2">
        <v>45163</v>
      </c>
      <c r="B118" s="3">
        <v>213088</v>
      </c>
      <c r="C118" s="3">
        <v>27198</v>
      </c>
      <c r="D118" s="3">
        <f t="shared" si="17"/>
        <v>240286</v>
      </c>
      <c r="E118" s="4">
        <f t="shared" si="18"/>
        <v>2466.2962962962961</v>
      </c>
      <c r="F118" s="4">
        <f t="shared" si="18"/>
        <v>314.79166666666663</v>
      </c>
      <c r="G118" s="4">
        <f t="shared" si="19"/>
        <v>2781.0879629629626</v>
      </c>
      <c r="H118" s="3">
        <v>158883</v>
      </c>
      <c r="I118" s="3">
        <v>71907</v>
      </c>
      <c r="J118" s="4">
        <f t="shared" si="14"/>
        <v>230790</v>
      </c>
      <c r="K118" s="4">
        <f t="shared" si="20"/>
        <v>1838.9236111111111</v>
      </c>
      <c r="L118" s="4">
        <f t="shared" si="21"/>
        <v>832.25694444444434</v>
      </c>
      <c r="M118" s="4">
        <f t="shared" si="15"/>
        <v>2671.1805555555557</v>
      </c>
      <c r="N118" s="5">
        <f t="shared" si="16"/>
        <v>3.9519572509426268E-2</v>
      </c>
      <c r="O118" s="7">
        <v>44.914540672365433</v>
      </c>
      <c r="P118" s="7">
        <v>23.748529374291735</v>
      </c>
      <c r="Q118" s="3">
        <v>25170.000000000982</v>
      </c>
      <c r="R118" s="3">
        <v>8080.0000000012915</v>
      </c>
      <c r="S118" s="3">
        <v>144.00000000000091</v>
      </c>
      <c r="T118" s="3">
        <f t="shared" si="22"/>
        <v>33394.00000000227</v>
      </c>
      <c r="U118" s="6">
        <f t="shared" si="23"/>
        <v>0.10475017271085699</v>
      </c>
      <c r="V118" s="6">
        <f t="shared" si="24"/>
        <v>3.3626594974327642E-2</v>
      </c>
      <c r="W118" s="6">
        <f t="shared" si="25"/>
        <v>5.9928585102752934E-4</v>
      </c>
      <c r="X118" s="6">
        <f t="shared" si="26"/>
        <v>0.13897605353621215</v>
      </c>
      <c r="Y118" s="6">
        <f t="shared" si="27"/>
        <v>0.15671459678631491</v>
      </c>
    </row>
    <row r="119" spans="1:25" x14ac:dyDescent="0.35">
      <c r="A119" s="2">
        <v>45164</v>
      </c>
      <c r="B119" s="3">
        <v>213216</v>
      </c>
      <c r="C119" s="3">
        <v>16275.599999999999</v>
      </c>
      <c r="D119" s="3">
        <f t="shared" si="17"/>
        <v>229491.6</v>
      </c>
      <c r="E119" s="4">
        <f t="shared" si="18"/>
        <v>2467.7777777777778</v>
      </c>
      <c r="F119" s="4">
        <f t="shared" si="18"/>
        <v>188.37499999999997</v>
      </c>
      <c r="G119" s="4">
        <f t="shared" si="19"/>
        <v>2656.1527777777778</v>
      </c>
      <c r="H119" s="3">
        <v>156202</v>
      </c>
      <c r="I119" s="3">
        <v>67454</v>
      </c>
      <c r="J119" s="4">
        <f t="shared" si="14"/>
        <v>223656</v>
      </c>
      <c r="K119" s="4">
        <f t="shared" si="20"/>
        <v>1807.8935185185185</v>
      </c>
      <c r="L119" s="4">
        <f t="shared" si="21"/>
        <v>780.7175925925925</v>
      </c>
      <c r="M119" s="4">
        <f t="shared" si="15"/>
        <v>2588.6111111111109</v>
      </c>
      <c r="N119" s="5">
        <f t="shared" si="16"/>
        <v>2.5428381692401837E-2</v>
      </c>
      <c r="O119" s="7">
        <v>48.232715271495778</v>
      </c>
      <c r="P119" s="7">
        <v>23.533484593868604</v>
      </c>
      <c r="Q119" s="3">
        <v>23670.000000000982</v>
      </c>
      <c r="R119" s="3">
        <v>6519.9999999990723</v>
      </c>
      <c r="S119" s="3">
        <v>140.39999999999395</v>
      </c>
      <c r="T119" s="3">
        <f t="shared" si="22"/>
        <v>30330.400000000049</v>
      </c>
      <c r="U119" s="6">
        <f t="shared" si="23"/>
        <v>0.10314102999848788</v>
      </c>
      <c r="V119" s="6">
        <f t="shared" si="24"/>
        <v>2.8410625922687682E-2</v>
      </c>
      <c r="W119" s="6">
        <f t="shared" si="25"/>
        <v>6.1178709808983836E-4</v>
      </c>
      <c r="X119" s="6">
        <f t="shared" si="26"/>
        <v>0.13216344301926541</v>
      </c>
      <c r="Y119" s="6">
        <f t="shared" si="27"/>
        <v>0.14225198859372679</v>
      </c>
    </row>
    <row r="120" spans="1:25" x14ac:dyDescent="0.35">
      <c r="A120" s="2">
        <v>45165</v>
      </c>
      <c r="B120" s="3">
        <v>212254</v>
      </c>
      <c r="C120" s="3">
        <v>17262</v>
      </c>
      <c r="D120" s="3">
        <f t="shared" si="17"/>
        <v>229516</v>
      </c>
      <c r="E120" s="4">
        <f t="shared" si="18"/>
        <v>2456.6435185185182</v>
      </c>
      <c r="F120" s="4">
        <f t="shared" si="18"/>
        <v>199.79166666666666</v>
      </c>
      <c r="G120" s="4">
        <f t="shared" si="19"/>
        <v>2656.4351851851848</v>
      </c>
      <c r="H120" s="3">
        <v>155648</v>
      </c>
      <c r="I120" s="3">
        <v>68032</v>
      </c>
      <c r="J120" s="4">
        <f t="shared" si="14"/>
        <v>223680</v>
      </c>
      <c r="K120" s="4">
        <f t="shared" si="20"/>
        <v>1801.4814814814813</v>
      </c>
      <c r="L120" s="4">
        <f t="shared" si="21"/>
        <v>787.40740740740739</v>
      </c>
      <c r="M120" s="4">
        <f t="shared" si="15"/>
        <v>2588.8888888888887</v>
      </c>
      <c r="N120" s="5">
        <f t="shared" si="16"/>
        <v>2.5427421181965528E-2</v>
      </c>
      <c r="O120" s="7">
        <v>51.162874222276443</v>
      </c>
      <c r="P120" s="7">
        <v>22.42103071760393</v>
      </c>
      <c r="Q120" s="3">
        <v>23489.999999997053</v>
      </c>
      <c r="R120" s="3">
        <v>6720.0000000002547</v>
      </c>
      <c r="S120" s="3">
        <v>154.00000000000205</v>
      </c>
      <c r="T120" s="3">
        <f t="shared" si="22"/>
        <v>30363.999999997312</v>
      </c>
      <c r="U120" s="6">
        <f t="shared" si="23"/>
        <v>0.10234580595687034</v>
      </c>
      <c r="V120" s="6">
        <f t="shared" si="24"/>
        <v>2.9279004513847639E-2</v>
      </c>
      <c r="W120" s="6">
        <f t="shared" si="25"/>
        <v>6.7097718677565853E-4</v>
      </c>
      <c r="X120" s="6">
        <f t="shared" si="26"/>
        <v>0.13229578765749364</v>
      </c>
      <c r="Y120" s="6">
        <f t="shared" si="27"/>
        <v>0.14305501898667311</v>
      </c>
    </row>
    <row r="121" spans="1:25" x14ac:dyDescent="0.35">
      <c r="A121" s="8">
        <v>45166</v>
      </c>
      <c r="B121" s="3">
        <v>212585</v>
      </c>
      <c r="C121" s="3">
        <v>24663.599999999999</v>
      </c>
      <c r="D121" s="3">
        <f t="shared" si="17"/>
        <v>237248.6</v>
      </c>
      <c r="E121" s="4">
        <f t="shared" si="18"/>
        <v>2460.474537037037</v>
      </c>
      <c r="F121" s="4">
        <f t="shared" si="18"/>
        <v>285.45833333333331</v>
      </c>
      <c r="G121" s="4">
        <f t="shared" si="19"/>
        <v>2745.9328703703704</v>
      </c>
      <c r="H121" s="3">
        <v>157666</v>
      </c>
      <c r="I121" s="3">
        <v>71989</v>
      </c>
      <c r="J121" s="4">
        <f t="shared" si="14"/>
        <v>229655</v>
      </c>
      <c r="K121" s="4">
        <f t="shared" si="20"/>
        <v>1824.8379629629628</v>
      </c>
      <c r="L121" s="4">
        <f t="shared" si="21"/>
        <v>833.20601851851848</v>
      </c>
      <c r="M121" s="4">
        <f t="shared" si="15"/>
        <v>2658.0439814814813</v>
      </c>
      <c r="N121" s="5">
        <f t="shared" si="16"/>
        <v>3.2006932812248444E-2</v>
      </c>
      <c r="O121" s="7">
        <v>46.525492668871387</v>
      </c>
      <c r="P121" s="7">
        <v>20.210842089413536</v>
      </c>
      <c r="Q121" s="3">
        <v>24059.999999999945</v>
      </c>
      <c r="R121" s="3">
        <v>9980.0000000000182</v>
      </c>
      <c r="S121" s="3">
        <v>151.60000000000082</v>
      </c>
      <c r="T121" s="3">
        <f t="shared" si="22"/>
        <v>34191.599999999962</v>
      </c>
      <c r="U121" s="6">
        <f t="shared" si="23"/>
        <v>0.10141261107547081</v>
      </c>
      <c r="V121" s="6">
        <f t="shared" si="24"/>
        <v>4.2065580155162215E-2</v>
      </c>
      <c r="W121" s="6">
        <f t="shared" si="25"/>
        <v>6.3899217951128399E-4</v>
      </c>
      <c r="X121" s="6">
        <f t="shared" si="26"/>
        <v>0.14411718341014429</v>
      </c>
      <c r="Y121" s="6">
        <f t="shared" si="27"/>
        <v>0.16083731213396976</v>
      </c>
    </row>
    <row r="122" spans="1:25" x14ac:dyDescent="0.35">
      <c r="A122" s="2">
        <v>45167</v>
      </c>
      <c r="B122" s="3">
        <v>213061</v>
      </c>
      <c r="C122" s="3">
        <v>25567.199999999997</v>
      </c>
      <c r="D122" s="3">
        <f t="shared" si="17"/>
        <v>238628.2</v>
      </c>
      <c r="E122" s="4">
        <f t="shared" si="18"/>
        <v>2465.9837962962961</v>
      </c>
      <c r="F122" s="4">
        <f t="shared" si="18"/>
        <v>295.91666666666663</v>
      </c>
      <c r="G122" s="4">
        <f t="shared" si="19"/>
        <v>2761.9004629629626</v>
      </c>
      <c r="H122" s="3">
        <v>158382</v>
      </c>
      <c r="I122" s="3">
        <v>72862</v>
      </c>
      <c r="J122" s="4">
        <f t="shared" si="14"/>
        <v>231244</v>
      </c>
      <c r="K122" s="4">
        <f t="shared" si="20"/>
        <v>1833.1249999999998</v>
      </c>
      <c r="L122" s="4">
        <f t="shared" si="21"/>
        <v>843.31018518518511</v>
      </c>
      <c r="M122" s="4">
        <f t="shared" si="15"/>
        <v>2676.4351851851848</v>
      </c>
      <c r="N122" s="5">
        <f t="shared" si="16"/>
        <v>3.0944372877975072E-2</v>
      </c>
      <c r="O122" s="7">
        <v>48.148307702107296</v>
      </c>
      <c r="P122" s="7">
        <v>19.880482026710595</v>
      </c>
      <c r="Q122" s="3">
        <v>23790.000000002237</v>
      </c>
      <c r="R122" s="3">
        <v>9299.9999999992724</v>
      </c>
      <c r="S122" s="3">
        <v>159.19999999999732</v>
      </c>
      <c r="T122" s="3">
        <f t="shared" si="22"/>
        <v>33249.20000000151</v>
      </c>
      <c r="U122" s="6">
        <f t="shared" si="23"/>
        <v>9.9694839084409292E-2</v>
      </c>
      <c r="V122" s="6">
        <f t="shared" si="24"/>
        <v>3.8972761811048619E-2</v>
      </c>
      <c r="W122" s="6">
        <f t="shared" si="25"/>
        <v>6.6714663229240005E-4</v>
      </c>
      <c r="X122" s="6">
        <f t="shared" si="26"/>
        <v>0.13933474752775032</v>
      </c>
      <c r="Y122" s="6">
        <f t="shared" si="27"/>
        <v>0.1560548387551054</v>
      </c>
    </row>
    <row r="123" spans="1:25" x14ac:dyDescent="0.35">
      <c r="A123" s="2">
        <v>45168</v>
      </c>
      <c r="B123" s="3">
        <v>213008</v>
      </c>
      <c r="C123" s="3">
        <v>25077.600000000002</v>
      </c>
      <c r="D123" s="3">
        <f t="shared" si="17"/>
        <v>238085.6</v>
      </c>
      <c r="E123" s="4">
        <f t="shared" si="18"/>
        <v>2465.37037037037</v>
      </c>
      <c r="F123" s="4">
        <f t="shared" si="18"/>
        <v>290.25</v>
      </c>
      <c r="G123" s="4">
        <f t="shared" si="19"/>
        <v>2755.62037037037</v>
      </c>
      <c r="H123" s="3">
        <v>158315</v>
      </c>
      <c r="I123" s="3">
        <v>74049</v>
      </c>
      <c r="J123" s="4">
        <f t="shared" si="14"/>
        <v>232364</v>
      </c>
      <c r="K123" s="4">
        <f t="shared" si="20"/>
        <v>1832.349537037037</v>
      </c>
      <c r="L123" s="4">
        <f t="shared" si="21"/>
        <v>857.04861111111109</v>
      </c>
      <c r="M123" s="4">
        <f t="shared" si="15"/>
        <v>2689.3981481481478</v>
      </c>
      <c r="N123" s="5">
        <f t="shared" si="16"/>
        <v>2.4031692802924685E-2</v>
      </c>
      <c r="O123" s="7">
        <v>45.8136569368328</v>
      </c>
      <c r="P123" s="7">
        <v>21.7566798905954</v>
      </c>
      <c r="Q123" s="3">
        <v>28049.999999999727</v>
      </c>
      <c r="R123" s="3">
        <v>9120.0000000012551</v>
      </c>
      <c r="S123" s="3">
        <v>151.20000000000005</v>
      </c>
      <c r="T123" s="3">
        <f t="shared" si="22"/>
        <v>37321.200000000979</v>
      </c>
      <c r="U123" s="6">
        <f t="shared" si="23"/>
        <v>0.11781476914185371</v>
      </c>
      <c r="V123" s="6">
        <f t="shared" si="24"/>
        <v>3.8305550608693908E-2</v>
      </c>
      <c r="W123" s="6">
        <f t="shared" si="25"/>
        <v>6.3506570745983819E-4</v>
      </c>
      <c r="X123" s="6">
        <f t="shared" si="26"/>
        <v>0.15675538545800746</v>
      </c>
      <c r="Y123" s="6">
        <f t="shared" si="27"/>
        <v>0.17521032073913176</v>
      </c>
    </row>
    <row r="124" spans="1:25" x14ac:dyDescent="0.35">
      <c r="A124" s="2">
        <v>45169</v>
      </c>
      <c r="B124" s="3">
        <v>212637</v>
      </c>
      <c r="C124" s="3">
        <v>25743.599999999999</v>
      </c>
      <c r="D124" s="3">
        <f t="shared" si="17"/>
        <v>238380.6</v>
      </c>
      <c r="E124" s="4">
        <f t="shared" si="18"/>
        <v>2461.0763888888887</v>
      </c>
      <c r="F124" s="4">
        <f t="shared" si="18"/>
        <v>297.95833333333331</v>
      </c>
      <c r="G124" s="4">
        <f t="shared" si="19"/>
        <v>2759.0347222222222</v>
      </c>
      <c r="H124" s="3">
        <v>158273</v>
      </c>
      <c r="I124" s="3">
        <v>72443</v>
      </c>
      <c r="J124" s="4">
        <f t="shared" si="14"/>
        <v>230716</v>
      </c>
      <c r="K124" s="4">
        <f t="shared" si="20"/>
        <v>1831.8634259259259</v>
      </c>
      <c r="L124" s="4">
        <f t="shared" si="21"/>
        <v>838.46064814814804</v>
      </c>
      <c r="M124" s="4">
        <f t="shared" si="15"/>
        <v>2670.3240740740739</v>
      </c>
      <c r="N124" s="5">
        <f t="shared" si="16"/>
        <v>3.2152784245026676E-2</v>
      </c>
      <c r="O124" s="7">
        <v>50.527232501302535</v>
      </c>
      <c r="P124" s="7">
        <v>20.186111790656678</v>
      </c>
      <c r="Q124" s="3">
        <v>25259.999999998854</v>
      </c>
      <c r="R124" s="3">
        <v>9199.9999999989086</v>
      </c>
      <c r="S124" s="3">
        <v>148.40000000000146</v>
      </c>
      <c r="T124" s="3">
        <f t="shared" si="22"/>
        <v>34608.39999999776</v>
      </c>
      <c r="U124" s="6">
        <f t="shared" si="23"/>
        <v>0.10596499882959794</v>
      </c>
      <c r="V124" s="6">
        <f t="shared" si="24"/>
        <v>3.8593744625187235E-2</v>
      </c>
      <c r="W124" s="6">
        <f t="shared" si="25"/>
        <v>6.2253388069331752E-4</v>
      </c>
      <c r="X124" s="6">
        <f t="shared" si="26"/>
        <v>0.14518127733547848</v>
      </c>
      <c r="Y124" s="6">
        <f t="shared" si="27"/>
        <v>0.16275812770118916</v>
      </c>
    </row>
    <row r="125" spans="1:25" x14ac:dyDescent="0.35">
      <c r="A125" s="2">
        <v>45170</v>
      </c>
      <c r="B125" s="3">
        <v>212558</v>
      </c>
      <c r="C125" s="3">
        <v>28648.800000000003</v>
      </c>
      <c r="D125" s="3">
        <f t="shared" si="17"/>
        <v>241206.8</v>
      </c>
      <c r="E125" s="4">
        <f t="shared" si="18"/>
        <v>2460.162037037037</v>
      </c>
      <c r="F125" s="4">
        <f t="shared" si="18"/>
        <v>331.58333333333337</v>
      </c>
      <c r="G125" s="4">
        <f t="shared" si="19"/>
        <v>2791.7453703703704</v>
      </c>
      <c r="H125" s="3">
        <v>158193</v>
      </c>
      <c r="I125" s="3">
        <v>73095</v>
      </c>
      <c r="J125" s="4">
        <f t="shared" si="14"/>
        <v>231288</v>
      </c>
      <c r="K125" s="4">
        <f t="shared" si="20"/>
        <v>1830.9374999999998</v>
      </c>
      <c r="L125" s="4">
        <f t="shared" si="21"/>
        <v>846.00694444444434</v>
      </c>
      <c r="M125" s="4">
        <f t="shared" si="15"/>
        <v>2676.9444444444443</v>
      </c>
      <c r="N125" s="5">
        <f t="shared" si="16"/>
        <v>4.1121560420352948E-2</v>
      </c>
      <c r="O125" s="7">
        <v>42.524605442300967</v>
      </c>
      <c r="P125" s="7">
        <v>23.188467865065203</v>
      </c>
      <c r="Q125" s="3">
        <v>25290.000000000873</v>
      </c>
      <c r="R125" s="3">
        <v>9160.0000000012187</v>
      </c>
      <c r="S125" s="3">
        <v>135.60000000000059</v>
      </c>
      <c r="T125" s="3">
        <f t="shared" si="22"/>
        <v>34585.600000002094</v>
      </c>
      <c r="U125" s="6">
        <f t="shared" si="23"/>
        <v>0.10484779036080606</v>
      </c>
      <c r="V125" s="6">
        <f t="shared" si="24"/>
        <v>3.7975712127523847E-2</v>
      </c>
      <c r="W125" s="6">
        <f t="shared" si="25"/>
        <v>5.6217320573052085E-4</v>
      </c>
      <c r="X125" s="6">
        <f t="shared" si="26"/>
        <v>0.14338567569406044</v>
      </c>
      <c r="Y125" s="6">
        <f t="shared" si="27"/>
        <v>0.16271135407748519</v>
      </c>
    </row>
    <row r="126" spans="1:25" x14ac:dyDescent="0.35">
      <c r="A126" s="2">
        <v>45171</v>
      </c>
      <c r="B126" s="3">
        <v>212889</v>
      </c>
      <c r="C126" s="3">
        <v>22284.000000000004</v>
      </c>
      <c r="D126" s="3">
        <f t="shared" si="17"/>
        <v>235173</v>
      </c>
      <c r="E126" s="4">
        <f t="shared" si="18"/>
        <v>2463.9930555555552</v>
      </c>
      <c r="F126" s="4">
        <f t="shared" si="18"/>
        <v>257.91666666666669</v>
      </c>
      <c r="G126" s="4">
        <f t="shared" si="19"/>
        <v>2721.9097222222217</v>
      </c>
      <c r="H126" s="3">
        <v>154159</v>
      </c>
      <c r="I126" s="3">
        <v>67478</v>
      </c>
      <c r="J126" s="4">
        <f t="shared" si="14"/>
        <v>221637</v>
      </c>
      <c r="K126" s="4">
        <f t="shared" si="20"/>
        <v>1784.247685185185</v>
      </c>
      <c r="L126" s="4">
        <f t="shared" si="21"/>
        <v>780.99537037037032</v>
      </c>
      <c r="M126" s="4">
        <f t="shared" si="15"/>
        <v>2565.2430555555552</v>
      </c>
      <c r="N126" s="5">
        <f t="shared" si="16"/>
        <v>5.7557627788904338E-2</v>
      </c>
      <c r="O126" s="7">
        <v>48.350210270736859</v>
      </c>
      <c r="P126" s="7">
        <v>21.785411958270778</v>
      </c>
      <c r="Q126" s="3">
        <v>23429.999999998472</v>
      </c>
      <c r="R126" s="3">
        <v>7799.9999999988177</v>
      </c>
      <c r="S126" s="3">
        <v>124.00000000000091</v>
      </c>
      <c r="T126" s="3">
        <f t="shared" si="22"/>
        <v>31353.99999999729</v>
      </c>
      <c r="U126" s="6">
        <f t="shared" si="23"/>
        <v>9.9628783916514529E-2</v>
      </c>
      <c r="V126" s="6">
        <f t="shared" si="24"/>
        <v>3.3167072750693395E-2</v>
      </c>
      <c r="W126" s="6">
        <f t="shared" si="25"/>
        <v>5.2727141295982492E-4</v>
      </c>
      <c r="X126" s="6">
        <f t="shared" si="26"/>
        <v>0.13332312808016775</v>
      </c>
      <c r="Y126" s="6">
        <f t="shared" si="27"/>
        <v>0.14727862876897016</v>
      </c>
    </row>
    <row r="127" spans="1:25" x14ac:dyDescent="0.35">
      <c r="A127" s="2">
        <v>45172</v>
      </c>
      <c r="B127" s="3">
        <v>212831</v>
      </c>
      <c r="C127" s="3">
        <v>21221.999999999996</v>
      </c>
      <c r="D127" s="3">
        <f t="shared" si="17"/>
        <v>234053</v>
      </c>
      <c r="E127" s="4">
        <f t="shared" si="18"/>
        <v>2463.3217592592591</v>
      </c>
      <c r="F127" s="4">
        <f t="shared" si="18"/>
        <v>245.62499999999994</v>
      </c>
      <c r="G127" s="4">
        <f t="shared" si="19"/>
        <v>2708.9467592592591</v>
      </c>
      <c r="H127" s="3">
        <v>154802</v>
      </c>
      <c r="I127" s="3">
        <v>67812</v>
      </c>
      <c r="J127" s="4">
        <f t="shared" si="14"/>
        <v>222614</v>
      </c>
      <c r="K127" s="4">
        <f t="shared" si="20"/>
        <v>1791.6898148148148</v>
      </c>
      <c r="L127" s="4">
        <f t="shared" si="21"/>
        <v>784.86111111111109</v>
      </c>
      <c r="M127" s="4">
        <f t="shared" si="15"/>
        <v>2576.5509259259261</v>
      </c>
      <c r="N127" s="5">
        <f t="shared" si="16"/>
        <v>4.8873545735367632E-2</v>
      </c>
      <c r="O127" s="7">
        <v>50.110325439109943</v>
      </c>
      <c r="P127" s="7">
        <v>23.195783786882547</v>
      </c>
      <c r="Q127" s="3">
        <v>23609.999999999673</v>
      </c>
      <c r="R127" s="3">
        <v>7360.0000000001273</v>
      </c>
      <c r="S127" s="3">
        <v>139.59999999999695</v>
      </c>
      <c r="T127" s="3">
        <f t="shared" si="22"/>
        <v>31109.599999999798</v>
      </c>
      <c r="U127" s="6">
        <f t="shared" si="23"/>
        <v>0.10087458823428741</v>
      </c>
      <c r="V127" s="6">
        <f t="shared" si="24"/>
        <v>3.1445869098025353E-2</v>
      </c>
      <c r="W127" s="6">
        <f t="shared" si="25"/>
        <v>5.9644610408752271E-4</v>
      </c>
      <c r="X127" s="6">
        <f t="shared" si="26"/>
        <v>0.13291690343640031</v>
      </c>
      <c r="Y127" s="6">
        <f t="shared" si="27"/>
        <v>0.14617043569780624</v>
      </c>
    </row>
    <row r="128" spans="1:25" x14ac:dyDescent="0.35">
      <c r="A128" s="8">
        <v>45173</v>
      </c>
      <c r="B128" s="3">
        <v>211741</v>
      </c>
      <c r="C128" s="3">
        <v>28544.400000000001</v>
      </c>
      <c r="D128" s="3">
        <f t="shared" si="17"/>
        <v>240285.4</v>
      </c>
      <c r="E128" s="4">
        <f t="shared" si="18"/>
        <v>2450.7060185185182</v>
      </c>
      <c r="F128" s="4">
        <f t="shared" si="18"/>
        <v>330.375</v>
      </c>
      <c r="G128" s="4">
        <f t="shared" si="19"/>
        <v>2781.0810185185182</v>
      </c>
      <c r="H128" s="3">
        <v>157602</v>
      </c>
      <c r="I128" s="3">
        <v>73228</v>
      </c>
      <c r="J128" s="4">
        <f t="shared" si="14"/>
        <v>230830</v>
      </c>
      <c r="K128" s="4">
        <f t="shared" si="20"/>
        <v>1824.0972222222222</v>
      </c>
      <c r="L128" s="4">
        <f t="shared" si="21"/>
        <v>847.54629629629619</v>
      </c>
      <c r="M128" s="4">
        <f t="shared" si="15"/>
        <v>2671.6435185185182</v>
      </c>
      <c r="N128" s="5">
        <f t="shared" si="16"/>
        <v>3.9350705452765727E-2</v>
      </c>
      <c r="O128" s="7">
        <v>49.222882455613203</v>
      </c>
      <c r="P128" s="7">
        <v>21.204097031336275</v>
      </c>
      <c r="Q128" s="3">
        <v>25440.000000001419</v>
      </c>
      <c r="R128" s="3">
        <v>9259.9999999997635</v>
      </c>
      <c r="S128" s="3">
        <v>136.79999999999836</v>
      </c>
      <c r="T128" s="3">
        <f t="shared" si="22"/>
        <v>34836.800000001174</v>
      </c>
      <c r="U128" s="6">
        <f t="shared" si="23"/>
        <v>0.10587409805173939</v>
      </c>
      <c r="V128" s="6">
        <f t="shared" si="24"/>
        <v>3.853750581599949E-2</v>
      </c>
      <c r="W128" s="6">
        <f t="shared" si="25"/>
        <v>5.6932298008950341E-4</v>
      </c>
      <c r="X128" s="6">
        <f t="shared" si="26"/>
        <v>0.14498092684782835</v>
      </c>
      <c r="Y128" s="6">
        <f t="shared" si="27"/>
        <v>0.16452552883003846</v>
      </c>
    </row>
    <row r="129" spans="1:25" x14ac:dyDescent="0.35">
      <c r="A129" s="2">
        <v>45174</v>
      </c>
      <c r="B129" s="3">
        <v>212565</v>
      </c>
      <c r="C129" s="3">
        <v>28544.400000000001</v>
      </c>
      <c r="D129" s="3">
        <f t="shared" si="17"/>
        <v>241109.4</v>
      </c>
      <c r="E129" s="4">
        <f t="shared" si="18"/>
        <v>2460.2430555555552</v>
      </c>
      <c r="F129" s="4">
        <f t="shared" si="18"/>
        <v>330.375</v>
      </c>
      <c r="G129" s="4">
        <f t="shared" si="19"/>
        <v>2790.6180555555552</v>
      </c>
      <c r="H129" s="3">
        <v>157419</v>
      </c>
      <c r="I129" s="3">
        <v>73859</v>
      </c>
      <c r="J129" s="4">
        <f t="shared" si="14"/>
        <v>231278</v>
      </c>
      <c r="K129" s="4">
        <f t="shared" si="20"/>
        <v>1821.9791666666665</v>
      </c>
      <c r="L129" s="4">
        <f t="shared" si="21"/>
        <v>854.84953703703695</v>
      </c>
      <c r="M129" s="4">
        <f t="shared" si="15"/>
        <v>2676.8287037037035</v>
      </c>
      <c r="N129" s="5">
        <f t="shared" si="16"/>
        <v>4.0775681080870319E-2</v>
      </c>
      <c r="O129" s="7">
        <v>48.49392018726769</v>
      </c>
      <c r="P129" s="7">
        <v>22.446488328044627</v>
      </c>
      <c r="Q129" s="3">
        <v>25649.999999999181</v>
      </c>
      <c r="R129" s="3">
        <v>8780.0000000015643</v>
      </c>
      <c r="S129" s="3">
        <v>142.00000000000728</v>
      </c>
      <c r="T129" s="3">
        <f t="shared" si="22"/>
        <v>34572.000000000749</v>
      </c>
      <c r="U129" s="6">
        <f t="shared" si="23"/>
        <v>0.10638324345711607</v>
      </c>
      <c r="V129" s="6">
        <f t="shared" si="24"/>
        <v>3.6415004972852841E-2</v>
      </c>
      <c r="W129" s="6">
        <f t="shared" si="25"/>
        <v>5.8894427177043818E-4</v>
      </c>
      <c r="X129" s="6">
        <f t="shared" si="26"/>
        <v>0.14338719270173933</v>
      </c>
      <c r="Y129" s="6">
        <f t="shared" si="27"/>
        <v>0.16264201538353326</v>
      </c>
    </row>
    <row r="130" spans="1:25" x14ac:dyDescent="0.35">
      <c r="A130" s="2">
        <v>45175</v>
      </c>
      <c r="B130" s="3">
        <v>211705</v>
      </c>
      <c r="C130" s="3">
        <v>34203.599999999999</v>
      </c>
      <c r="D130" s="3">
        <f t="shared" si="17"/>
        <v>245908.6</v>
      </c>
      <c r="E130" s="4">
        <f t="shared" si="18"/>
        <v>2450.2893518518517</v>
      </c>
      <c r="F130" s="4">
        <f t="shared" si="18"/>
        <v>395.87499999999994</v>
      </c>
      <c r="G130" s="4">
        <f t="shared" si="19"/>
        <v>2846.1643518518517</v>
      </c>
      <c r="H130" s="3">
        <v>158150</v>
      </c>
      <c r="I130" s="3">
        <v>73380</v>
      </c>
      <c r="J130" s="4">
        <f t="shared" si="14"/>
        <v>231530</v>
      </c>
      <c r="K130" s="4">
        <f t="shared" si="20"/>
        <v>1830.4398148148148</v>
      </c>
      <c r="L130" s="4">
        <f t="shared" si="21"/>
        <v>849.30555555555554</v>
      </c>
      <c r="M130" s="4">
        <f t="shared" si="15"/>
        <v>2679.7453703703704</v>
      </c>
      <c r="N130" s="5">
        <f t="shared" si="16"/>
        <v>5.8471318205219357E-2</v>
      </c>
      <c r="O130" s="7">
        <v>46.869739407243181</v>
      </c>
      <c r="P130" s="7">
        <v>24.817023984995053</v>
      </c>
      <c r="Q130" s="3">
        <v>26130.000000000109</v>
      </c>
      <c r="R130" s="3">
        <v>10119.999999998527</v>
      </c>
      <c r="S130" s="3">
        <v>141.59999999999854</v>
      </c>
      <c r="T130" s="3">
        <f t="shared" si="22"/>
        <v>36391.599999998631</v>
      </c>
      <c r="U130" s="6">
        <f t="shared" si="23"/>
        <v>0.10625899216212897</v>
      </c>
      <c r="V130" s="6">
        <f t="shared" si="24"/>
        <v>4.1153501748204521E-2</v>
      </c>
      <c r="W130" s="6">
        <f t="shared" si="25"/>
        <v>5.7582370035044945E-4</v>
      </c>
      <c r="X130" s="6">
        <f t="shared" si="26"/>
        <v>0.14798831761068393</v>
      </c>
      <c r="Y130" s="6">
        <f t="shared" si="27"/>
        <v>0.17189768782030954</v>
      </c>
    </row>
    <row r="131" spans="1:25" x14ac:dyDescent="0.35">
      <c r="A131" s="2">
        <v>45176</v>
      </c>
      <c r="B131" s="3">
        <v>213486</v>
      </c>
      <c r="C131" s="3">
        <v>27129.600000000002</v>
      </c>
      <c r="D131" s="3">
        <f t="shared" si="17"/>
        <v>240615.6</v>
      </c>
      <c r="E131" s="4">
        <f t="shared" si="18"/>
        <v>2470.9027777777778</v>
      </c>
      <c r="F131" s="4">
        <f t="shared" si="18"/>
        <v>314</v>
      </c>
      <c r="G131" s="4">
        <f t="shared" si="19"/>
        <v>2784.9027777777778</v>
      </c>
      <c r="H131" s="3">
        <v>157647</v>
      </c>
      <c r="I131" s="3">
        <v>72789</v>
      </c>
      <c r="J131" s="4">
        <f t="shared" ref="J131:J194" si="28">SUM(H131:I131)</f>
        <v>230436</v>
      </c>
      <c r="K131" s="4">
        <f t="shared" si="20"/>
        <v>1824.6180555555554</v>
      </c>
      <c r="L131" s="4">
        <f t="shared" si="21"/>
        <v>842.46527777777771</v>
      </c>
      <c r="M131" s="4">
        <f t="shared" ref="M131:M194" si="29">SUM(K131:L131)</f>
        <v>2667.083333333333</v>
      </c>
      <c r="N131" s="5">
        <f t="shared" ref="N131:N194" si="30">(D131-J131)/D131</f>
        <v>4.2306483868876359E-2</v>
      </c>
      <c r="O131" s="7">
        <v>46.965915759410443</v>
      </c>
      <c r="P131" s="7">
        <v>24.65710920830891</v>
      </c>
      <c r="Q131" s="3">
        <v>25440.000000001419</v>
      </c>
      <c r="R131" s="3">
        <v>9400.0000000010004</v>
      </c>
      <c r="S131" s="3">
        <v>140</v>
      </c>
      <c r="T131" s="3">
        <f t="shared" si="22"/>
        <v>34980.000000002416</v>
      </c>
      <c r="U131" s="6">
        <f t="shared" si="23"/>
        <v>0.10572880561360701</v>
      </c>
      <c r="V131" s="6">
        <f t="shared" si="24"/>
        <v>3.9066461193708969E-2</v>
      </c>
      <c r="W131" s="6">
        <f t="shared" si="25"/>
        <v>5.8184091139560354E-4</v>
      </c>
      <c r="X131" s="6">
        <f t="shared" si="26"/>
        <v>0.14537710771871157</v>
      </c>
      <c r="Y131" s="6">
        <f t="shared" si="27"/>
        <v>0.16385149377477876</v>
      </c>
    </row>
    <row r="132" spans="1:25" x14ac:dyDescent="0.35">
      <c r="A132" s="2">
        <v>45177</v>
      </c>
      <c r="B132" s="3">
        <v>212930</v>
      </c>
      <c r="C132" s="3">
        <v>27666</v>
      </c>
      <c r="D132" s="3">
        <f t="shared" ref="D132:D195" si="31">SUM(B132:C132)</f>
        <v>240596</v>
      </c>
      <c r="E132" s="4">
        <f t="shared" ref="E132:F195" si="32">B132/86.4</f>
        <v>2464.4675925925926</v>
      </c>
      <c r="F132" s="4">
        <f t="shared" si="32"/>
        <v>320.20833333333331</v>
      </c>
      <c r="G132" s="4">
        <f t="shared" ref="G132:G195" si="33">SUM(E132:F132)</f>
        <v>2784.6759259259261</v>
      </c>
      <c r="H132" s="3">
        <v>155919</v>
      </c>
      <c r="I132" s="3">
        <v>72973</v>
      </c>
      <c r="J132" s="4">
        <f t="shared" si="28"/>
        <v>228892</v>
      </c>
      <c r="K132" s="4">
        <f t="shared" ref="K132:K195" si="34">H132/86.4</f>
        <v>1804.6180555555554</v>
      </c>
      <c r="L132" s="4">
        <f t="shared" ref="L132:L195" si="35">I132/86.4</f>
        <v>844.59490740740739</v>
      </c>
      <c r="M132" s="4">
        <f t="shared" si="29"/>
        <v>2649.2129629629626</v>
      </c>
      <c r="N132" s="5">
        <f t="shared" si="30"/>
        <v>4.8645862774110961E-2</v>
      </c>
      <c r="O132" s="7">
        <v>50.509252024140054</v>
      </c>
      <c r="P132" s="7">
        <v>19.717882430158031</v>
      </c>
      <c r="Q132" s="3">
        <v>25500</v>
      </c>
      <c r="R132" s="3">
        <v>9319.9999999987995</v>
      </c>
      <c r="S132" s="3">
        <v>137.99999999999841</v>
      </c>
      <c r="T132" s="3">
        <f t="shared" si="22"/>
        <v>34957.999999998799</v>
      </c>
      <c r="U132" s="6">
        <f t="shared" si="23"/>
        <v>0.10598679944803738</v>
      </c>
      <c r="V132" s="6">
        <f t="shared" si="24"/>
        <v>3.8737136111983574E-2</v>
      </c>
      <c r="W132" s="6">
        <f t="shared" si="25"/>
        <v>5.7357562054231328E-4</v>
      </c>
      <c r="X132" s="6">
        <f t="shared" si="26"/>
        <v>0.14529751118056328</v>
      </c>
      <c r="Y132" s="6">
        <f t="shared" si="27"/>
        <v>0.16417602028835204</v>
      </c>
    </row>
    <row r="133" spans="1:25" x14ac:dyDescent="0.35">
      <c r="A133" s="2">
        <v>45178</v>
      </c>
      <c r="B133" s="3">
        <v>213223</v>
      </c>
      <c r="C133" s="3">
        <v>21931.199999999997</v>
      </c>
      <c r="D133" s="3">
        <f t="shared" si="31"/>
        <v>235154.2</v>
      </c>
      <c r="E133" s="4">
        <f t="shared" si="32"/>
        <v>2467.8587962962961</v>
      </c>
      <c r="F133" s="4">
        <f t="shared" si="32"/>
        <v>253.83333333333329</v>
      </c>
      <c r="G133" s="4">
        <f t="shared" si="33"/>
        <v>2721.6921296296296</v>
      </c>
      <c r="H133" s="3">
        <v>155074</v>
      </c>
      <c r="I133" s="3">
        <v>67644</v>
      </c>
      <c r="J133" s="4">
        <f t="shared" si="28"/>
        <v>222718</v>
      </c>
      <c r="K133" s="4">
        <f t="shared" si="34"/>
        <v>1794.8379629629628</v>
      </c>
      <c r="L133" s="4">
        <f t="shared" si="35"/>
        <v>782.91666666666663</v>
      </c>
      <c r="M133" s="4">
        <f t="shared" si="29"/>
        <v>2577.7546296296296</v>
      </c>
      <c r="N133" s="5">
        <f t="shared" si="30"/>
        <v>5.2885298242600007E-2</v>
      </c>
      <c r="O133" s="7">
        <v>47.518113646279758</v>
      </c>
      <c r="P133" s="7">
        <v>19.861217414271128</v>
      </c>
      <c r="Q133" s="3">
        <v>23459.999999997763</v>
      </c>
      <c r="R133" s="3">
        <v>8400.0000000010004</v>
      </c>
      <c r="S133" s="3">
        <v>123.59999999999786</v>
      </c>
      <c r="T133" s="3">
        <f t="shared" ref="T133:T196" si="36">SUM(Q133:S133)</f>
        <v>31983.599999998762</v>
      </c>
      <c r="U133" s="6">
        <f t="shared" ref="U133:U196" si="37">Q133/$D133</f>
        <v>9.9764324855765973E-2</v>
      </c>
      <c r="V133" s="6">
        <f t="shared" ref="V133:V196" si="38">R133/$D133</f>
        <v>3.5721241636343298E-2</v>
      </c>
      <c r="W133" s="6">
        <f t="shared" ref="W133:W196" si="39">S133/$D133</f>
        <v>5.2561255550612261E-4</v>
      </c>
      <c r="X133" s="6">
        <f t="shared" ref="X133:X196" si="40">T133/$D133</f>
        <v>0.13601117904761539</v>
      </c>
      <c r="Y133" s="6">
        <f t="shared" ref="Y133:Y196" si="41">T133/B133</f>
        <v>0.15000070348882982</v>
      </c>
    </row>
    <row r="134" spans="1:25" x14ac:dyDescent="0.35">
      <c r="A134" s="2">
        <v>45179</v>
      </c>
      <c r="B134" s="3">
        <v>212831</v>
      </c>
      <c r="C134" s="3">
        <v>21931.199999999997</v>
      </c>
      <c r="D134" s="3">
        <f t="shared" si="31"/>
        <v>234762.2</v>
      </c>
      <c r="E134" s="4">
        <f t="shared" si="32"/>
        <v>2463.3217592592591</v>
      </c>
      <c r="F134" s="4">
        <f t="shared" si="32"/>
        <v>253.83333333333329</v>
      </c>
      <c r="G134" s="4">
        <f t="shared" si="33"/>
        <v>2717.1550925925926</v>
      </c>
      <c r="H134" s="3">
        <v>153433</v>
      </c>
      <c r="I134" s="3">
        <v>67361</v>
      </c>
      <c r="J134" s="4">
        <f t="shared" si="28"/>
        <v>220794</v>
      </c>
      <c r="K134" s="4">
        <f t="shared" si="34"/>
        <v>1775.8449074074074</v>
      </c>
      <c r="L134" s="4">
        <f t="shared" si="35"/>
        <v>779.6412037037037</v>
      </c>
      <c r="M134" s="4">
        <f t="shared" si="29"/>
        <v>2555.4861111111113</v>
      </c>
      <c r="N134" s="5">
        <f t="shared" si="30"/>
        <v>5.9499357221903741E-2</v>
      </c>
      <c r="O134" s="7">
        <v>45.353451279635308</v>
      </c>
      <c r="P134" s="7">
        <v>19.990838779829829</v>
      </c>
      <c r="Q134" s="3">
        <v>23430.000000001201</v>
      </c>
      <c r="R134" s="3">
        <v>8360.0000000001273</v>
      </c>
      <c r="S134" s="3">
        <v>123.99999999999977</v>
      </c>
      <c r="T134" s="3">
        <f t="shared" si="36"/>
        <v>31914.000000001328</v>
      </c>
      <c r="U134" s="6">
        <f t="shared" si="37"/>
        <v>9.9803119923059166E-2</v>
      </c>
      <c r="V134" s="6">
        <f t="shared" si="38"/>
        <v>3.5610502883343768E-2</v>
      </c>
      <c r="W134" s="6">
        <f t="shared" si="39"/>
        <v>5.2819406190604686E-4</v>
      </c>
      <c r="X134" s="6">
        <f t="shared" si="40"/>
        <v>0.13594181686830897</v>
      </c>
      <c r="Y134" s="6">
        <f t="shared" si="41"/>
        <v>0.14994996029714341</v>
      </c>
    </row>
    <row r="135" spans="1:25" x14ac:dyDescent="0.35">
      <c r="A135" s="8">
        <v>45180</v>
      </c>
      <c r="B135" s="3">
        <v>212263</v>
      </c>
      <c r="C135" s="3">
        <v>26614.799999999996</v>
      </c>
      <c r="D135" s="3">
        <f t="shared" si="31"/>
        <v>238877.8</v>
      </c>
      <c r="E135" s="4">
        <f t="shared" si="32"/>
        <v>2456.7476851851852</v>
      </c>
      <c r="F135" s="4">
        <f t="shared" si="32"/>
        <v>308.04166666666657</v>
      </c>
      <c r="G135" s="4">
        <f t="shared" si="33"/>
        <v>2764.7893518518517</v>
      </c>
      <c r="H135" s="3">
        <v>157640</v>
      </c>
      <c r="I135" s="3">
        <v>73340</v>
      </c>
      <c r="J135" s="4">
        <f t="shared" si="28"/>
        <v>230980</v>
      </c>
      <c r="K135" s="4">
        <f t="shared" si="34"/>
        <v>1824.537037037037</v>
      </c>
      <c r="L135" s="4">
        <f t="shared" si="35"/>
        <v>848.8425925925925</v>
      </c>
      <c r="M135" s="4">
        <f t="shared" si="29"/>
        <v>2673.3796296296296</v>
      </c>
      <c r="N135" s="5">
        <f t="shared" si="30"/>
        <v>3.3062092835751122E-2</v>
      </c>
      <c r="O135" s="7">
        <v>48.613542154189297</v>
      </c>
      <c r="P135" s="7">
        <v>21.115752855415259</v>
      </c>
      <c r="Q135" s="3">
        <v>25529.999999999291</v>
      </c>
      <c r="R135" s="3">
        <v>9039.9999999999636</v>
      </c>
      <c r="S135" s="3">
        <v>126.00000000000477</v>
      </c>
      <c r="T135" s="3">
        <f t="shared" si="36"/>
        <v>34695.999999999265</v>
      </c>
      <c r="U135" s="6">
        <f t="shared" si="37"/>
        <v>0.10687472841762312</v>
      </c>
      <c r="V135" s="6">
        <f t="shared" si="38"/>
        <v>3.7843617113017466E-2</v>
      </c>
      <c r="W135" s="6">
        <f t="shared" si="39"/>
        <v>5.2746634471685845E-4</v>
      </c>
      <c r="X135" s="6">
        <f t="shared" si="40"/>
        <v>0.14524581187535748</v>
      </c>
      <c r="Y135" s="6">
        <f t="shared" si="41"/>
        <v>0.16345759741452473</v>
      </c>
    </row>
    <row r="136" spans="1:25" x14ac:dyDescent="0.35">
      <c r="A136" s="2">
        <v>45181</v>
      </c>
      <c r="B136" s="3">
        <v>212263</v>
      </c>
      <c r="C136" s="3">
        <v>28886.399999999998</v>
      </c>
      <c r="D136" s="3">
        <f t="shared" si="31"/>
        <v>241149.4</v>
      </c>
      <c r="E136" s="4">
        <f t="shared" si="32"/>
        <v>2456.7476851851852</v>
      </c>
      <c r="F136" s="4">
        <f t="shared" si="32"/>
        <v>334.33333333333331</v>
      </c>
      <c r="G136" s="4">
        <f t="shared" si="33"/>
        <v>2791.0810185185187</v>
      </c>
      <c r="H136" s="3">
        <v>157663</v>
      </c>
      <c r="I136" s="3">
        <v>73872</v>
      </c>
      <c r="J136" s="4">
        <f t="shared" si="28"/>
        <v>231535</v>
      </c>
      <c r="K136" s="4">
        <f t="shared" si="34"/>
        <v>1824.8032407407406</v>
      </c>
      <c r="L136" s="4">
        <f t="shared" si="35"/>
        <v>855</v>
      </c>
      <c r="M136" s="4">
        <f t="shared" si="29"/>
        <v>2679.8032407407409</v>
      </c>
      <c r="N136" s="5">
        <f t="shared" si="30"/>
        <v>3.9869060424782291E-2</v>
      </c>
      <c r="O136" s="7">
        <v>46.538137768536849</v>
      </c>
      <c r="P136" s="7">
        <v>22.959230383062462</v>
      </c>
      <c r="Q136" s="3">
        <v>25619.999999999891</v>
      </c>
      <c r="R136" s="3">
        <v>10080.000000000382</v>
      </c>
      <c r="S136" s="3">
        <v>153.19999999999936</v>
      </c>
      <c r="T136" s="3">
        <f t="shared" si="36"/>
        <v>35853.200000000274</v>
      </c>
      <c r="U136" s="6">
        <f t="shared" si="37"/>
        <v>0.10624119321880914</v>
      </c>
      <c r="V136" s="6">
        <f t="shared" si="38"/>
        <v>4.1799813725434863E-2</v>
      </c>
      <c r="W136" s="6">
        <f t="shared" si="39"/>
        <v>6.3529081971590794E-4</v>
      </c>
      <c r="X136" s="6">
        <f t="shared" si="40"/>
        <v>0.14867629776395991</v>
      </c>
      <c r="Y136" s="6">
        <f t="shared" si="41"/>
        <v>0.16890932475278439</v>
      </c>
    </row>
    <row r="137" spans="1:25" x14ac:dyDescent="0.35">
      <c r="A137" s="2">
        <v>45182</v>
      </c>
      <c r="B137" s="3">
        <v>212197</v>
      </c>
      <c r="C137" s="3">
        <v>28956.6</v>
      </c>
      <c r="D137" s="3">
        <f t="shared" si="31"/>
        <v>241153.6</v>
      </c>
      <c r="E137" s="4">
        <f t="shared" si="32"/>
        <v>2455.9837962962961</v>
      </c>
      <c r="F137" s="4">
        <f t="shared" si="32"/>
        <v>335.14583333333331</v>
      </c>
      <c r="G137" s="4">
        <f t="shared" si="33"/>
        <v>2791.1296296296296</v>
      </c>
      <c r="H137" s="3">
        <v>157351</v>
      </c>
      <c r="I137" s="3">
        <v>74675</v>
      </c>
      <c r="J137" s="4">
        <f t="shared" si="28"/>
        <v>232026</v>
      </c>
      <c r="K137" s="4">
        <f t="shared" si="34"/>
        <v>1821.1921296296296</v>
      </c>
      <c r="L137" s="4">
        <f t="shared" si="35"/>
        <v>864.29398148148141</v>
      </c>
      <c r="M137" s="4">
        <f t="shared" si="29"/>
        <v>2685.4861111111109</v>
      </c>
      <c r="N137" s="5">
        <f t="shared" si="30"/>
        <v>3.7849735604195855E-2</v>
      </c>
      <c r="O137" s="7">
        <v>48.014609775678238</v>
      </c>
      <c r="P137" s="7">
        <v>26.339271821890424</v>
      </c>
      <c r="Q137" s="3">
        <v>26010.000000001583</v>
      </c>
      <c r="R137" s="3">
        <v>10039.999999999054</v>
      </c>
      <c r="S137" s="3">
        <v>142.00000000000273</v>
      </c>
      <c r="T137" s="3">
        <f t="shared" si="36"/>
        <v>36192.00000000064</v>
      </c>
      <c r="U137" s="6">
        <f t="shared" si="37"/>
        <v>0.10785656942298014</v>
      </c>
      <c r="V137" s="6">
        <f t="shared" si="38"/>
        <v>4.163321634012121E-2</v>
      </c>
      <c r="W137" s="6">
        <f t="shared" si="39"/>
        <v>5.8883632672289659E-4</v>
      </c>
      <c r="X137" s="6">
        <f t="shared" si="40"/>
        <v>0.15007862208982425</v>
      </c>
      <c r="Y137" s="6">
        <f t="shared" si="41"/>
        <v>0.17055849045934032</v>
      </c>
    </row>
    <row r="138" spans="1:25" x14ac:dyDescent="0.35">
      <c r="A138" s="2">
        <v>45183</v>
      </c>
      <c r="B138" s="3">
        <v>211957</v>
      </c>
      <c r="C138" s="3">
        <v>29836.800000000003</v>
      </c>
      <c r="D138" s="3">
        <f t="shared" si="31"/>
        <v>241793.8</v>
      </c>
      <c r="E138" s="4">
        <f t="shared" si="32"/>
        <v>2453.2060185185182</v>
      </c>
      <c r="F138" s="4">
        <f t="shared" si="32"/>
        <v>345.33333333333337</v>
      </c>
      <c r="G138" s="4">
        <f t="shared" si="33"/>
        <v>2798.5393518518517</v>
      </c>
      <c r="H138" s="3">
        <v>157177</v>
      </c>
      <c r="I138" s="3">
        <v>75288</v>
      </c>
      <c r="J138" s="4">
        <f t="shared" si="28"/>
        <v>232465</v>
      </c>
      <c r="K138" s="4">
        <f t="shared" si="34"/>
        <v>1819.1782407407406</v>
      </c>
      <c r="L138" s="4">
        <f t="shared" si="35"/>
        <v>871.3888888888888</v>
      </c>
      <c r="M138" s="4">
        <f t="shared" si="29"/>
        <v>2690.5671296296296</v>
      </c>
      <c r="N138" s="5">
        <f t="shared" si="30"/>
        <v>3.8581634433968073E-2</v>
      </c>
      <c r="O138" s="7">
        <v>46.18755319615309</v>
      </c>
      <c r="P138" s="7">
        <v>28.446954242408854</v>
      </c>
      <c r="Q138" s="3">
        <v>26339.999999999236</v>
      </c>
      <c r="R138" s="3">
        <v>9659.9999999998545</v>
      </c>
      <c r="S138" s="3">
        <v>141.99999999999591</v>
      </c>
      <c r="T138" s="3">
        <f t="shared" si="36"/>
        <v>36141.999999999083</v>
      </c>
      <c r="U138" s="6">
        <f t="shared" si="37"/>
        <v>0.10893579570691737</v>
      </c>
      <c r="V138" s="6">
        <f t="shared" si="38"/>
        <v>3.9951396603220821E-2</v>
      </c>
      <c r="W138" s="6">
        <f t="shared" si="39"/>
        <v>5.8727725855665415E-4</v>
      </c>
      <c r="X138" s="6">
        <f t="shared" si="40"/>
        <v>0.14947446956869484</v>
      </c>
      <c r="Y138" s="6">
        <f t="shared" si="41"/>
        <v>0.1705157178106837</v>
      </c>
    </row>
    <row r="139" spans="1:25" x14ac:dyDescent="0.35">
      <c r="A139" s="2">
        <v>45184</v>
      </c>
      <c r="B139" s="3">
        <v>212414</v>
      </c>
      <c r="C139" s="3">
        <v>27471.599999999999</v>
      </c>
      <c r="D139" s="3">
        <f t="shared" si="31"/>
        <v>239885.6</v>
      </c>
      <c r="E139" s="4">
        <f t="shared" si="32"/>
        <v>2458.49537037037</v>
      </c>
      <c r="F139" s="4">
        <f t="shared" si="32"/>
        <v>317.95833333333331</v>
      </c>
      <c r="G139" s="4">
        <f t="shared" si="33"/>
        <v>2776.4537037037035</v>
      </c>
      <c r="H139" s="3">
        <v>160951</v>
      </c>
      <c r="I139" s="3">
        <v>73689</v>
      </c>
      <c r="J139" s="4">
        <f t="shared" si="28"/>
        <v>234640</v>
      </c>
      <c r="K139" s="4">
        <f t="shared" si="34"/>
        <v>1862.8587962962961</v>
      </c>
      <c r="L139" s="4">
        <f t="shared" si="35"/>
        <v>852.88194444444434</v>
      </c>
      <c r="M139" s="4">
        <f t="shared" si="29"/>
        <v>2715.7407407407404</v>
      </c>
      <c r="N139" s="5">
        <f t="shared" si="30"/>
        <v>2.1867089979556945E-2</v>
      </c>
      <c r="O139" s="7">
        <v>46.082065784690698</v>
      </c>
      <c r="P139" s="7">
        <v>31.788356430860361</v>
      </c>
      <c r="Q139" s="3">
        <v>25739.999999998417</v>
      </c>
      <c r="R139" s="3">
        <v>8699.9999999998181</v>
      </c>
      <c r="S139" s="3">
        <v>145.19999999999754</v>
      </c>
      <c r="T139" s="3">
        <f t="shared" si="36"/>
        <v>34585.199999998236</v>
      </c>
      <c r="U139" s="6">
        <f t="shared" si="37"/>
        <v>0.10730114688000621</v>
      </c>
      <c r="V139" s="6">
        <f t="shared" si="38"/>
        <v>3.6267287406996578E-2</v>
      </c>
      <c r="W139" s="6">
        <f t="shared" si="39"/>
        <v>6.0528852086160043E-4</v>
      </c>
      <c r="X139" s="6">
        <f t="shared" si="40"/>
        <v>0.14417372280786439</v>
      </c>
      <c r="Y139" s="6">
        <f t="shared" si="41"/>
        <v>0.1628197764742354</v>
      </c>
    </row>
    <row r="140" spans="1:25" x14ac:dyDescent="0.35">
      <c r="A140" s="2">
        <v>45185</v>
      </c>
      <c r="B140" s="3">
        <v>211877</v>
      </c>
      <c r="C140" s="3">
        <v>21457.8</v>
      </c>
      <c r="D140" s="3">
        <f t="shared" si="31"/>
        <v>233334.8</v>
      </c>
      <c r="E140" s="4">
        <f t="shared" si="32"/>
        <v>2452.2800925925926</v>
      </c>
      <c r="F140" s="4">
        <f t="shared" si="32"/>
        <v>248.35416666666663</v>
      </c>
      <c r="G140" s="4">
        <f t="shared" si="33"/>
        <v>2700.6342592592591</v>
      </c>
      <c r="H140" s="3">
        <v>151523</v>
      </c>
      <c r="I140" s="3">
        <v>70379</v>
      </c>
      <c r="J140" s="4">
        <f t="shared" si="28"/>
        <v>221902</v>
      </c>
      <c r="K140" s="4">
        <f t="shared" si="34"/>
        <v>1753.7384259259259</v>
      </c>
      <c r="L140" s="4">
        <f t="shared" si="35"/>
        <v>814.57175925925924</v>
      </c>
      <c r="M140" s="4">
        <f t="shared" si="29"/>
        <v>2568.3101851851852</v>
      </c>
      <c r="N140" s="5">
        <f t="shared" si="30"/>
        <v>4.8997406302017481E-2</v>
      </c>
      <c r="O140" s="7">
        <v>44.7734157099584</v>
      </c>
      <c r="P140" s="7">
        <v>32.147042177057848</v>
      </c>
      <c r="Q140" s="3">
        <v>24210.000000000491</v>
      </c>
      <c r="R140" s="3">
        <v>7980.0000000009277</v>
      </c>
      <c r="S140" s="3">
        <v>155.19999999999754</v>
      </c>
      <c r="T140" s="3">
        <f t="shared" si="36"/>
        <v>32345.200000001416</v>
      </c>
      <c r="U140" s="6">
        <f t="shared" si="37"/>
        <v>0.1037564906734893</v>
      </c>
      <c r="V140" s="6">
        <f t="shared" si="38"/>
        <v>3.4199785029926648E-2</v>
      </c>
      <c r="W140" s="6">
        <f t="shared" si="39"/>
        <v>6.6513867627116723E-4</v>
      </c>
      <c r="X140" s="6">
        <f t="shared" si="40"/>
        <v>0.13862141437968711</v>
      </c>
      <c r="Y140" s="6">
        <f t="shared" si="41"/>
        <v>0.1526602698735654</v>
      </c>
    </row>
    <row r="141" spans="1:25" x14ac:dyDescent="0.35">
      <c r="A141" s="2">
        <v>45186</v>
      </c>
      <c r="B141" s="3">
        <v>213148</v>
      </c>
      <c r="C141" s="3">
        <v>22636.800000000003</v>
      </c>
      <c r="D141" s="3">
        <f t="shared" si="31"/>
        <v>235784.8</v>
      </c>
      <c r="E141" s="4">
        <f t="shared" si="32"/>
        <v>2466.9907407407404</v>
      </c>
      <c r="F141" s="4">
        <f t="shared" si="32"/>
        <v>262</v>
      </c>
      <c r="G141" s="4">
        <f t="shared" si="33"/>
        <v>2728.9907407407404</v>
      </c>
      <c r="H141" s="3">
        <v>156676</v>
      </c>
      <c r="I141" s="3">
        <v>70145</v>
      </c>
      <c r="J141" s="4">
        <f t="shared" si="28"/>
        <v>226821</v>
      </c>
      <c r="K141" s="4">
        <f t="shared" si="34"/>
        <v>1813.3796296296296</v>
      </c>
      <c r="L141" s="4">
        <f t="shared" si="35"/>
        <v>811.86342592592587</v>
      </c>
      <c r="M141" s="4">
        <f t="shared" si="29"/>
        <v>2625.2430555555557</v>
      </c>
      <c r="N141" s="5">
        <f t="shared" si="30"/>
        <v>3.8016869620094207E-2</v>
      </c>
      <c r="O141" s="7">
        <v>47.496462876317729</v>
      </c>
      <c r="P141" s="7">
        <v>25.690504328006778</v>
      </c>
      <c r="Q141" s="3">
        <v>24390.000000001692</v>
      </c>
      <c r="R141" s="3">
        <v>8299.9999999997272</v>
      </c>
      <c r="S141" s="3">
        <v>130.80000000000609</v>
      </c>
      <c r="T141" s="3">
        <f t="shared" si="36"/>
        <v>32820.800000001422</v>
      </c>
      <c r="U141" s="6">
        <f t="shared" si="37"/>
        <v>0.10344178250676758</v>
      </c>
      <c r="V141" s="6">
        <f t="shared" si="38"/>
        <v>3.520159060295544E-2</v>
      </c>
      <c r="W141" s="6">
        <f t="shared" si="39"/>
        <v>5.5474313865866713E-4</v>
      </c>
      <c r="X141" s="6">
        <f t="shared" si="40"/>
        <v>0.13919811624838169</v>
      </c>
      <c r="Y141" s="6">
        <f t="shared" si="41"/>
        <v>0.15398127122938721</v>
      </c>
    </row>
    <row r="142" spans="1:25" x14ac:dyDescent="0.35">
      <c r="A142" s="8">
        <v>45187</v>
      </c>
      <c r="B142" s="3">
        <v>212344</v>
      </c>
      <c r="C142" s="3">
        <v>26262</v>
      </c>
      <c r="D142" s="3">
        <f t="shared" si="31"/>
        <v>238606</v>
      </c>
      <c r="E142" s="4">
        <f t="shared" si="32"/>
        <v>2457.6851851851852</v>
      </c>
      <c r="F142" s="4">
        <f t="shared" si="32"/>
        <v>303.95833333333331</v>
      </c>
      <c r="G142" s="4">
        <f t="shared" si="33"/>
        <v>2761.6435185185187</v>
      </c>
      <c r="H142" s="3">
        <v>154366</v>
      </c>
      <c r="I142" s="3">
        <v>74769</v>
      </c>
      <c r="J142" s="4">
        <f t="shared" si="28"/>
        <v>229135</v>
      </c>
      <c r="K142" s="4">
        <f t="shared" si="34"/>
        <v>1786.6435185185185</v>
      </c>
      <c r="L142" s="4">
        <f t="shared" si="35"/>
        <v>865.38194444444434</v>
      </c>
      <c r="M142" s="4">
        <f t="shared" si="29"/>
        <v>2652.0254629629626</v>
      </c>
      <c r="N142" s="5">
        <f t="shared" si="30"/>
        <v>3.9693050468135753E-2</v>
      </c>
      <c r="O142" s="7">
        <v>46.615726343847179</v>
      </c>
      <c r="P142" s="7">
        <v>22.444732460977153</v>
      </c>
      <c r="Q142" s="3">
        <v>26160.000000000764</v>
      </c>
      <c r="R142" s="3">
        <v>9679.9999999993815</v>
      </c>
      <c r="S142" s="3">
        <v>128.79999999999882</v>
      </c>
      <c r="T142" s="3">
        <f t="shared" si="36"/>
        <v>35968.800000000141</v>
      </c>
      <c r="U142" s="6">
        <f t="shared" si="37"/>
        <v>0.10963680712136645</v>
      </c>
      <c r="V142" s="6">
        <f t="shared" si="38"/>
        <v>4.0568971442459037E-2</v>
      </c>
      <c r="W142" s="6">
        <f t="shared" si="39"/>
        <v>5.3980201671374067E-4</v>
      </c>
      <c r="X142" s="6">
        <f t="shared" si="40"/>
        <v>0.15074558058053922</v>
      </c>
      <c r="Y142" s="6">
        <f t="shared" si="41"/>
        <v>0.169389292845572</v>
      </c>
    </row>
    <row r="143" spans="1:25" x14ac:dyDescent="0.35">
      <c r="A143" s="2">
        <v>45188</v>
      </c>
      <c r="B143" s="3">
        <v>211254</v>
      </c>
      <c r="C143" s="3">
        <v>30408.299999999996</v>
      </c>
      <c r="D143" s="3">
        <f t="shared" si="31"/>
        <v>241662.3</v>
      </c>
      <c r="E143" s="4">
        <f t="shared" si="32"/>
        <v>2445.0694444444443</v>
      </c>
      <c r="F143" s="4">
        <f t="shared" si="32"/>
        <v>351.94791666666657</v>
      </c>
      <c r="G143" s="4">
        <f t="shared" si="33"/>
        <v>2797.0173611111109</v>
      </c>
      <c r="H143" s="3">
        <v>156743</v>
      </c>
      <c r="I143" s="3">
        <v>74811</v>
      </c>
      <c r="J143" s="4">
        <f t="shared" si="28"/>
        <v>231554</v>
      </c>
      <c r="K143" s="4">
        <f t="shared" si="34"/>
        <v>1814.1550925925924</v>
      </c>
      <c r="L143" s="4">
        <f t="shared" si="35"/>
        <v>865.86805555555554</v>
      </c>
      <c r="M143" s="4">
        <f t="shared" si="29"/>
        <v>2680.0231481481478</v>
      </c>
      <c r="N143" s="5">
        <f t="shared" si="30"/>
        <v>4.1828204068238978E-2</v>
      </c>
      <c r="O143" s="7">
        <v>48.270450128133355</v>
      </c>
      <c r="P143" s="7">
        <v>29.235487340728433</v>
      </c>
      <c r="Q143" s="3">
        <v>26190.000000000055</v>
      </c>
      <c r="R143" s="3">
        <v>9579.9999999999272</v>
      </c>
      <c r="S143" s="3">
        <v>88.800000000002228</v>
      </c>
      <c r="T143" s="3">
        <f t="shared" si="36"/>
        <v>35858.799999999988</v>
      </c>
      <c r="U143" s="6">
        <f t="shared" si="37"/>
        <v>0.10837437200589441</v>
      </c>
      <c r="V143" s="6">
        <f t="shared" si="38"/>
        <v>3.9642095602002991E-2</v>
      </c>
      <c r="W143" s="6">
        <f t="shared" si="39"/>
        <v>3.6745491539227356E-4</v>
      </c>
      <c r="X143" s="6">
        <f t="shared" si="40"/>
        <v>0.14838392252328969</v>
      </c>
      <c r="Y143" s="6">
        <f t="shared" si="41"/>
        <v>0.16974258475579154</v>
      </c>
    </row>
    <row r="144" spans="1:25" x14ac:dyDescent="0.35">
      <c r="A144" s="2">
        <v>45189</v>
      </c>
      <c r="B144" s="3">
        <v>213103</v>
      </c>
      <c r="C144" s="3">
        <v>32277.599999999999</v>
      </c>
      <c r="D144" s="3">
        <f t="shared" si="31"/>
        <v>245380.6</v>
      </c>
      <c r="E144" s="4">
        <f t="shared" si="32"/>
        <v>2466.4699074074074</v>
      </c>
      <c r="F144" s="4">
        <f t="shared" si="32"/>
        <v>373.58333333333331</v>
      </c>
      <c r="G144" s="4">
        <f t="shared" si="33"/>
        <v>2840.0532407407409</v>
      </c>
      <c r="H144" s="3">
        <v>157057</v>
      </c>
      <c r="I144" s="3">
        <v>75061</v>
      </c>
      <c r="J144" s="4">
        <f t="shared" si="28"/>
        <v>232118</v>
      </c>
      <c r="K144" s="4">
        <f t="shared" si="34"/>
        <v>1817.7893518518517</v>
      </c>
      <c r="L144" s="4">
        <f t="shared" si="35"/>
        <v>868.76157407407402</v>
      </c>
      <c r="M144" s="4">
        <f t="shared" si="29"/>
        <v>2686.5509259259256</v>
      </c>
      <c r="N144" s="5">
        <f t="shared" si="30"/>
        <v>5.4049097605923233E-2</v>
      </c>
      <c r="O144" s="7">
        <v>48.753357029854847</v>
      </c>
      <c r="P144" s="7">
        <v>24.616644409088718</v>
      </c>
      <c r="Q144" s="3">
        <v>26219.999999999345</v>
      </c>
      <c r="R144" s="3">
        <v>10300.000000001091</v>
      </c>
      <c r="S144" s="3">
        <v>142.39999999999327</v>
      </c>
      <c r="T144" s="3">
        <f t="shared" si="36"/>
        <v>36662.400000000431</v>
      </c>
      <c r="U144" s="6">
        <f t="shared" si="37"/>
        <v>0.10685441310355971</v>
      </c>
      <c r="V144" s="6">
        <f t="shared" si="38"/>
        <v>4.197560850369219E-2</v>
      </c>
      <c r="W144" s="6">
        <f t="shared" si="39"/>
        <v>5.8032297581794672E-4</v>
      </c>
      <c r="X144" s="6">
        <f t="shared" si="40"/>
        <v>0.14941034458306984</v>
      </c>
      <c r="Y144" s="6">
        <f t="shared" si="41"/>
        <v>0.1720407502475349</v>
      </c>
    </row>
    <row r="145" spans="1:25" x14ac:dyDescent="0.35">
      <c r="A145" s="2">
        <v>45190</v>
      </c>
      <c r="B145" s="3">
        <v>212804</v>
      </c>
      <c r="C145" s="3">
        <v>24254.999999999996</v>
      </c>
      <c r="D145" s="3">
        <f t="shared" si="31"/>
        <v>237059</v>
      </c>
      <c r="E145" s="4">
        <f t="shared" si="32"/>
        <v>2463.0092592592591</v>
      </c>
      <c r="F145" s="4">
        <f t="shared" si="32"/>
        <v>280.72916666666663</v>
      </c>
      <c r="G145" s="4">
        <f t="shared" si="33"/>
        <v>2743.7384259259256</v>
      </c>
      <c r="H145" s="3">
        <v>126550</v>
      </c>
      <c r="I145" s="3">
        <v>76168</v>
      </c>
      <c r="J145" s="4">
        <f t="shared" si="28"/>
        <v>202718</v>
      </c>
      <c r="K145" s="4">
        <f t="shared" si="34"/>
        <v>1464.6990740740739</v>
      </c>
      <c r="L145" s="4">
        <f t="shared" si="35"/>
        <v>881.57407407407402</v>
      </c>
      <c r="M145" s="4">
        <f t="shared" si="29"/>
        <v>2346.2731481481478</v>
      </c>
      <c r="N145" s="5">
        <f t="shared" si="30"/>
        <v>0.14486267131811068</v>
      </c>
      <c r="O145" s="7">
        <v>47.783631922854646</v>
      </c>
      <c r="P145" s="7">
        <v>21.946421715604604</v>
      </c>
      <c r="Q145" s="3">
        <v>23129.999999998745</v>
      </c>
      <c r="R145" s="3">
        <v>9099.9999999994543</v>
      </c>
      <c r="S145" s="3">
        <v>136.0000000000025</v>
      </c>
      <c r="T145" s="3">
        <f t="shared" si="36"/>
        <v>32365.999999998203</v>
      </c>
      <c r="U145" s="6">
        <f t="shared" si="37"/>
        <v>9.7570646969736413E-2</v>
      </c>
      <c r="V145" s="6">
        <f t="shared" si="38"/>
        <v>3.8387068198209959E-2</v>
      </c>
      <c r="W145" s="6">
        <f t="shared" si="39"/>
        <v>5.7369684340186414E-4</v>
      </c>
      <c r="X145" s="6">
        <f t="shared" si="40"/>
        <v>0.13653141201134825</v>
      </c>
      <c r="Y145" s="6">
        <f t="shared" si="41"/>
        <v>0.15209300577055979</v>
      </c>
    </row>
    <row r="146" spans="1:25" x14ac:dyDescent="0.35">
      <c r="A146" s="2">
        <v>45191</v>
      </c>
      <c r="B146" s="3">
        <v>214180</v>
      </c>
      <c r="C146" s="3">
        <v>0</v>
      </c>
      <c r="D146" s="3">
        <f t="shared" si="31"/>
        <v>214180</v>
      </c>
      <c r="E146" s="4">
        <f t="shared" si="32"/>
        <v>2478.9351851851852</v>
      </c>
      <c r="F146" s="4">
        <f t="shared" si="32"/>
        <v>0</v>
      </c>
      <c r="G146" s="4">
        <f t="shared" si="33"/>
        <v>2478.9351851851852</v>
      </c>
      <c r="H146" s="3">
        <v>72967</v>
      </c>
      <c r="I146" s="3">
        <v>91646</v>
      </c>
      <c r="J146" s="4">
        <f t="shared" si="28"/>
        <v>164613</v>
      </c>
      <c r="K146" s="4">
        <f t="shared" si="34"/>
        <v>844.52546296296293</v>
      </c>
      <c r="L146" s="4">
        <f t="shared" si="35"/>
        <v>1060.7175925925926</v>
      </c>
      <c r="M146" s="4">
        <f t="shared" si="29"/>
        <v>1905.2430555555557</v>
      </c>
      <c r="N146" s="5">
        <f t="shared" si="30"/>
        <v>0.23142683723970492</v>
      </c>
      <c r="O146" s="7">
        <v>49.033392473620317</v>
      </c>
      <c r="P146" s="7">
        <v>16.334814906209274</v>
      </c>
      <c r="Q146" s="3">
        <v>18690.000000001419</v>
      </c>
      <c r="R146" s="3">
        <v>2500</v>
      </c>
      <c r="S146" s="3">
        <v>145.20000000000209</v>
      </c>
      <c r="T146" s="3">
        <f t="shared" si="36"/>
        <v>21335.20000000142</v>
      </c>
      <c r="U146" s="6">
        <f t="shared" si="37"/>
        <v>8.7263049771227091E-2</v>
      </c>
      <c r="V146" s="6">
        <f t="shared" si="38"/>
        <v>1.1672425063031096E-2</v>
      </c>
      <c r="W146" s="6">
        <f t="shared" si="39"/>
        <v>6.779344476608558E-4</v>
      </c>
      <c r="X146" s="6">
        <f t="shared" si="40"/>
        <v>9.9613409281919044E-2</v>
      </c>
      <c r="Y146" s="6">
        <f t="shared" si="41"/>
        <v>9.9613409281919044E-2</v>
      </c>
    </row>
    <row r="147" spans="1:25" x14ac:dyDescent="0.35">
      <c r="A147" s="2">
        <v>45192</v>
      </c>
      <c r="B147" s="3">
        <v>197040</v>
      </c>
      <c r="C147" s="3">
        <v>5634</v>
      </c>
      <c r="D147" s="3">
        <f t="shared" si="31"/>
        <v>202674</v>
      </c>
      <c r="E147" s="4">
        <f t="shared" si="32"/>
        <v>2280.5555555555552</v>
      </c>
      <c r="F147" s="4">
        <f t="shared" si="32"/>
        <v>65.208333333333329</v>
      </c>
      <c r="G147" s="4">
        <f t="shared" si="33"/>
        <v>2345.7638888888887</v>
      </c>
      <c r="H147" s="3">
        <v>54545</v>
      </c>
      <c r="I147" s="3">
        <v>86030</v>
      </c>
      <c r="J147" s="4">
        <f t="shared" si="28"/>
        <v>140575</v>
      </c>
      <c r="K147" s="4">
        <f t="shared" si="34"/>
        <v>631.30787037037032</v>
      </c>
      <c r="L147" s="4">
        <f t="shared" si="35"/>
        <v>995.7175925925925</v>
      </c>
      <c r="M147" s="4">
        <f t="shared" si="29"/>
        <v>1627.0254629629628</v>
      </c>
      <c r="N147" s="5">
        <f t="shared" si="30"/>
        <v>0.30639845268756721</v>
      </c>
      <c r="O147" s="7">
        <v>49.399883556844983</v>
      </c>
      <c r="P147" s="7">
        <v>25.055268495337693</v>
      </c>
      <c r="Q147" s="3">
        <v>18929.999999999836</v>
      </c>
      <c r="R147" s="3">
        <v>2539.9999999999636</v>
      </c>
      <c r="S147" s="3">
        <v>121.19999999999663</v>
      </c>
      <c r="T147" s="3">
        <f t="shared" si="36"/>
        <v>21591.199999999797</v>
      </c>
      <c r="U147" s="6">
        <f t="shared" si="37"/>
        <v>9.3401225613546066E-2</v>
      </c>
      <c r="V147" s="6">
        <f t="shared" si="38"/>
        <v>1.2532441260348953E-2</v>
      </c>
      <c r="W147" s="6">
        <f t="shared" si="39"/>
        <v>5.9800467746231201E-4</v>
      </c>
      <c r="X147" s="6">
        <f t="shared" si="40"/>
        <v>0.10653167155135734</v>
      </c>
      <c r="Y147" s="6">
        <f t="shared" si="41"/>
        <v>0.10957775071051461</v>
      </c>
    </row>
    <row r="148" spans="1:25" x14ac:dyDescent="0.35">
      <c r="A148" s="2">
        <v>45193</v>
      </c>
      <c r="B148" s="3">
        <v>213767</v>
      </c>
      <c r="C148" s="3">
        <v>29592</v>
      </c>
      <c r="D148" s="3">
        <f t="shared" si="31"/>
        <v>243359</v>
      </c>
      <c r="E148" s="4">
        <f t="shared" si="32"/>
        <v>2474.1550925925926</v>
      </c>
      <c r="F148" s="4">
        <f t="shared" si="32"/>
        <v>342.5</v>
      </c>
      <c r="G148" s="4">
        <f t="shared" si="33"/>
        <v>2816.6550925925926</v>
      </c>
      <c r="H148" s="3">
        <v>163668</v>
      </c>
      <c r="I148" s="3">
        <v>68552</v>
      </c>
      <c r="J148" s="4">
        <f t="shared" si="28"/>
        <v>232220</v>
      </c>
      <c r="K148" s="4">
        <f t="shared" si="34"/>
        <v>1894.3055555555554</v>
      </c>
      <c r="L148" s="4">
        <f t="shared" si="35"/>
        <v>793.42592592592587</v>
      </c>
      <c r="M148" s="4">
        <f t="shared" si="29"/>
        <v>2687.7314814814813</v>
      </c>
      <c r="N148" s="5">
        <f t="shared" si="30"/>
        <v>4.57718843354879E-2</v>
      </c>
      <c r="O148" s="7">
        <v>47.878023824884224</v>
      </c>
      <c r="P148" s="7">
        <v>36.336096837742723</v>
      </c>
      <c r="Q148" s="3">
        <v>27090.0000000006</v>
      </c>
      <c r="R148" s="3">
        <v>8880.0000000001091</v>
      </c>
      <c r="S148" s="3">
        <v>86.800000000005184</v>
      </c>
      <c r="T148" s="3">
        <f t="shared" si="36"/>
        <v>36056.800000000716</v>
      </c>
      <c r="U148" s="6">
        <f t="shared" si="37"/>
        <v>0.11131702546443978</v>
      </c>
      <c r="V148" s="6">
        <f t="shared" si="38"/>
        <v>3.6489301813370817E-2</v>
      </c>
      <c r="W148" s="6">
        <f t="shared" si="39"/>
        <v>3.5667470691449745E-4</v>
      </c>
      <c r="X148" s="6">
        <f t="shared" si="40"/>
        <v>0.1481630019847251</v>
      </c>
      <c r="Y148" s="6">
        <f t="shared" si="41"/>
        <v>0.16867336866775842</v>
      </c>
    </row>
    <row r="149" spans="1:25" x14ac:dyDescent="0.35">
      <c r="A149" s="2">
        <v>45194</v>
      </c>
      <c r="B149" s="3">
        <v>213404</v>
      </c>
      <c r="C149" s="3">
        <v>30068.100000000002</v>
      </c>
      <c r="D149" s="3">
        <f t="shared" si="31"/>
        <v>243472.1</v>
      </c>
      <c r="E149" s="4">
        <f t="shared" si="32"/>
        <v>2469.9537037037035</v>
      </c>
      <c r="F149" s="4">
        <f t="shared" si="32"/>
        <v>348.01041666666669</v>
      </c>
      <c r="G149" s="4">
        <f t="shared" si="33"/>
        <v>2817.96412037037</v>
      </c>
      <c r="H149" s="3">
        <v>157124</v>
      </c>
      <c r="I149" s="3">
        <v>75899</v>
      </c>
      <c r="J149" s="4">
        <f t="shared" si="28"/>
        <v>233023</v>
      </c>
      <c r="K149" s="4">
        <f t="shared" si="34"/>
        <v>1818.5648148148148</v>
      </c>
      <c r="L149" s="4">
        <f t="shared" si="35"/>
        <v>878.46064814814804</v>
      </c>
      <c r="M149" s="4">
        <f t="shared" si="29"/>
        <v>2697.0254629629626</v>
      </c>
      <c r="N149" s="5">
        <f t="shared" si="30"/>
        <v>4.2917032382765855E-2</v>
      </c>
      <c r="O149" s="7">
        <v>46.695748712070085</v>
      </c>
      <c r="P149" s="7">
        <v>24.693347720087313</v>
      </c>
      <c r="Q149" s="3">
        <v>26939.99999999869</v>
      </c>
      <c r="R149" s="3">
        <v>9380.0000000001091</v>
      </c>
      <c r="S149" s="3">
        <v>117.60000000000218</v>
      </c>
      <c r="T149" s="3">
        <f t="shared" si="36"/>
        <v>36437.599999998798</v>
      </c>
      <c r="U149" s="6">
        <f t="shared" si="37"/>
        <v>0.11064922839207733</v>
      </c>
      <c r="V149" s="6">
        <f t="shared" si="38"/>
        <v>3.852597484475679E-2</v>
      </c>
      <c r="W149" s="6">
        <f t="shared" si="39"/>
        <v>4.8301222193426752E-4</v>
      </c>
      <c r="X149" s="6">
        <f t="shared" si="40"/>
        <v>0.14965821545876837</v>
      </c>
      <c r="Y149" s="6">
        <f t="shared" si="41"/>
        <v>0.17074469082115987</v>
      </c>
    </row>
    <row r="150" spans="1:25" x14ac:dyDescent="0.35">
      <c r="A150" s="2">
        <v>45195</v>
      </c>
      <c r="B150" s="3">
        <v>212721</v>
      </c>
      <c r="C150" s="3">
        <v>31716</v>
      </c>
      <c r="D150" s="3">
        <f t="shared" si="31"/>
        <v>244437</v>
      </c>
      <c r="E150" s="4">
        <f t="shared" si="32"/>
        <v>2462.0486111111109</v>
      </c>
      <c r="F150" s="4">
        <f t="shared" si="32"/>
        <v>367.08333333333331</v>
      </c>
      <c r="G150" s="4">
        <f t="shared" si="33"/>
        <v>2829.1319444444443</v>
      </c>
      <c r="H150" s="3">
        <v>158725</v>
      </c>
      <c r="I150" s="3">
        <v>76888</v>
      </c>
      <c r="J150" s="4">
        <f t="shared" si="28"/>
        <v>235613</v>
      </c>
      <c r="K150" s="4">
        <f t="shared" si="34"/>
        <v>1837.0949074074074</v>
      </c>
      <c r="L150" s="4">
        <f t="shared" si="35"/>
        <v>889.90740740740739</v>
      </c>
      <c r="M150" s="4">
        <f t="shared" si="29"/>
        <v>2727.0023148148148</v>
      </c>
      <c r="N150" s="5">
        <f t="shared" si="30"/>
        <v>3.6099281205382167E-2</v>
      </c>
      <c r="O150" s="7">
        <v>45.591183004209675</v>
      </c>
      <c r="P150" s="7">
        <v>30.339541100686336</v>
      </c>
      <c r="Q150" s="3">
        <v>26969.999999999345</v>
      </c>
      <c r="R150" s="3">
        <v>9319.999999999709</v>
      </c>
      <c r="S150" s="3">
        <v>137.59999999999309</v>
      </c>
      <c r="T150" s="3">
        <f t="shared" si="36"/>
        <v>36427.599999999045</v>
      </c>
      <c r="U150" s="6">
        <f t="shared" si="37"/>
        <v>0.110335178389521</v>
      </c>
      <c r="V150" s="6">
        <f t="shared" si="38"/>
        <v>3.8128433911395199E-2</v>
      </c>
      <c r="W150" s="6">
        <f t="shared" si="39"/>
        <v>5.6292623457166097E-4</v>
      </c>
      <c r="X150" s="6">
        <f t="shared" si="40"/>
        <v>0.14902653853548786</v>
      </c>
      <c r="Y150" s="6">
        <f t="shared" si="41"/>
        <v>0.17124590425956557</v>
      </c>
    </row>
    <row r="151" spans="1:25" x14ac:dyDescent="0.35">
      <c r="A151" s="2">
        <v>45196</v>
      </c>
      <c r="B151" s="3">
        <v>212353</v>
      </c>
      <c r="C151" s="3">
        <v>30242.160000000003</v>
      </c>
      <c r="D151" s="3">
        <f t="shared" si="31"/>
        <v>242595.16</v>
      </c>
      <c r="E151" s="4">
        <f t="shared" si="32"/>
        <v>2457.7893518518517</v>
      </c>
      <c r="F151" s="4">
        <f t="shared" si="32"/>
        <v>350.02500000000003</v>
      </c>
      <c r="G151" s="4">
        <f t="shared" si="33"/>
        <v>2807.8143518518518</v>
      </c>
      <c r="H151" s="3">
        <v>157970</v>
      </c>
      <c r="I151" s="3">
        <v>75682</v>
      </c>
      <c r="J151" s="4">
        <f t="shared" si="28"/>
        <v>233652</v>
      </c>
      <c r="K151" s="4">
        <f t="shared" si="34"/>
        <v>1828.3564814814813</v>
      </c>
      <c r="L151" s="4">
        <f t="shared" si="35"/>
        <v>875.94907407407402</v>
      </c>
      <c r="M151" s="4">
        <f t="shared" si="29"/>
        <v>2704.3055555555552</v>
      </c>
      <c r="N151" s="5">
        <f t="shared" si="30"/>
        <v>3.6864544206075683E-2</v>
      </c>
      <c r="O151" s="7">
        <v>51.26367731326544</v>
      </c>
      <c r="P151" s="7">
        <v>29.216410220634607</v>
      </c>
      <c r="Q151" s="3">
        <v>26699.999999998909</v>
      </c>
      <c r="R151" s="3">
        <v>9300.0000000001819</v>
      </c>
      <c r="S151" s="3">
        <v>135.60000000000286</v>
      </c>
      <c r="T151" s="3">
        <f t="shared" si="36"/>
        <v>36135.599999999096</v>
      </c>
      <c r="U151" s="6">
        <f t="shared" si="37"/>
        <v>0.11005990391563833</v>
      </c>
      <c r="V151" s="6">
        <f t="shared" si="38"/>
        <v>3.83354721503932E-2</v>
      </c>
      <c r="W151" s="6">
        <f t="shared" si="39"/>
        <v>5.5895591651541139E-4</v>
      </c>
      <c r="X151" s="6">
        <f t="shared" si="40"/>
        <v>0.14895433198254696</v>
      </c>
      <c r="Y151" s="6">
        <f t="shared" si="41"/>
        <v>0.17016759829151976</v>
      </c>
    </row>
    <row r="152" spans="1:25" x14ac:dyDescent="0.35">
      <c r="A152" s="2">
        <v>45197</v>
      </c>
      <c r="B152" s="3">
        <v>211763</v>
      </c>
      <c r="C152" s="3">
        <v>27588.600000000002</v>
      </c>
      <c r="D152" s="3">
        <f t="shared" si="31"/>
        <v>239351.6</v>
      </c>
      <c r="E152" s="4">
        <f t="shared" si="32"/>
        <v>2450.9606481481478</v>
      </c>
      <c r="F152" s="4">
        <f t="shared" si="32"/>
        <v>319.3125</v>
      </c>
      <c r="G152" s="4">
        <f t="shared" si="33"/>
        <v>2770.2731481481478</v>
      </c>
      <c r="H152" s="3">
        <v>155761</v>
      </c>
      <c r="I152" s="3">
        <v>71468</v>
      </c>
      <c r="J152" s="4">
        <f t="shared" si="28"/>
        <v>227229</v>
      </c>
      <c r="K152" s="4">
        <f t="shared" si="34"/>
        <v>1802.7893518518517</v>
      </c>
      <c r="L152" s="4">
        <f t="shared" si="35"/>
        <v>827.17592592592587</v>
      </c>
      <c r="M152" s="4">
        <f t="shared" si="29"/>
        <v>2629.9652777777774</v>
      </c>
      <c r="N152" s="5">
        <f t="shared" si="30"/>
        <v>5.0647666445513655E-2</v>
      </c>
      <c r="O152" s="7">
        <v>48.830590645727874</v>
      </c>
      <c r="P152" s="7">
        <v>24.219673184168176</v>
      </c>
      <c r="Q152" s="3">
        <v>24990.000000003874</v>
      </c>
      <c r="R152" s="3">
        <v>8839.999999999236</v>
      </c>
      <c r="S152" s="3">
        <v>143.20000000000277</v>
      </c>
      <c r="T152" s="3">
        <f t="shared" si="36"/>
        <v>33973.200000003118</v>
      </c>
      <c r="U152" s="6">
        <f t="shared" si="37"/>
        <v>0.1044070731091995</v>
      </c>
      <c r="V152" s="6">
        <f t="shared" si="38"/>
        <v>3.6933114297122878E-2</v>
      </c>
      <c r="W152" s="6">
        <f t="shared" si="39"/>
        <v>5.9828302798060581E-4</v>
      </c>
      <c r="X152" s="6">
        <f t="shared" si="40"/>
        <v>0.14193847043430299</v>
      </c>
      <c r="Y152" s="6">
        <f t="shared" si="41"/>
        <v>0.16043029235514758</v>
      </c>
    </row>
    <row r="153" spans="1:25" x14ac:dyDescent="0.35">
      <c r="A153" s="2">
        <v>45198</v>
      </c>
      <c r="B153" s="3">
        <v>211040</v>
      </c>
      <c r="C153" s="3">
        <v>35146.800000000003</v>
      </c>
      <c r="D153" s="3">
        <f t="shared" si="31"/>
        <v>246186.8</v>
      </c>
      <c r="E153" s="4">
        <f t="shared" si="32"/>
        <v>2442.5925925925926</v>
      </c>
      <c r="F153" s="4">
        <f t="shared" si="32"/>
        <v>406.79166666666669</v>
      </c>
      <c r="G153" s="4">
        <f t="shared" si="33"/>
        <v>2849.3842592592591</v>
      </c>
      <c r="H153" s="3">
        <v>157225</v>
      </c>
      <c r="I153" s="3">
        <v>75218</v>
      </c>
      <c r="J153" s="4">
        <f t="shared" si="28"/>
        <v>232443</v>
      </c>
      <c r="K153" s="4">
        <f t="shared" si="34"/>
        <v>1819.7337962962961</v>
      </c>
      <c r="L153" s="4">
        <f t="shared" si="35"/>
        <v>870.5787037037037</v>
      </c>
      <c r="M153" s="4">
        <f t="shared" si="29"/>
        <v>2690.3125</v>
      </c>
      <c r="N153" s="5">
        <f t="shared" si="30"/>
        <v>5.582671369870354E-2</v>
      </c>
      <c r="O153" s="7">
        <v>51.25751664995849</v>
      </c>
      <c r="P153" s="7">
        <v>30.468829591900771</v>
      </c>
      <c r="Q153" s="3">
        <v>26999.999999998636</v>
      </c>
      <c r="R153" s="3">
        <v>10020.000000001801</v>
      </c>
      <c r="S153" s="3">
        <v>134.39999999999486</v>
      </c>
      <c r="T153" s="3">
        <f t="shared" si="36"/>
        <v>37154.400000000431</v>
      </c>
      <c r="U153" s="6">
        <f t="shared" si="37"/>
        <v>0.10967281755154475</v>
      </c>
      <c r="V153" s="6">
        <f t="shared" si="38"/>
        <v>4.070080118024931E-2</v>
      </c>
      <c r="W153" s="6">
        <f t="shared" si="39"/>
        <v>5.4592691403436281E-4</v>
      </c>
      <c r="X153" s="6">
        <f t="shared" si="40"/>
        <v>0.15091954564582843</v>
      </c>
      <c r="Y153" s="6">
        <f t="shared" si="41"/>
        <v>0.17605382865807634</v>
      </c>
    </row>
    <row r="154" spans="1:25" x14ac:dyDescent="0.35">
      <c r="A154" s="2">
        <v>45199</v>
      </c>
      <c r="B154" s="3">
        <v>211561</v>
      </c>
      <c r="C154" s="3">
        <v>27396</v>
      </c>
      <c r="D154" s="3">
        <f t="shared" si="31"/>
        <v>238957</v>
      </c>
      <c r="E154" s="4">
        <f t="shared" si="32"/>
        <v>2448.6226851851852</v>
      </c>
      <c r="F154" s="4">
        <f t="shared" si="32"/>
        <v>317.08333333333331</v>
      </c>
      <c r="G154" s="4">
        <f t="shared" si="33"/>
        <v>2765.7060185185187</v>
      </c>
      <c r="H154" s="3">
        <v>156089</v>
      </c>
      <c r="I154" s="3">
        <v>70673</v>
      </c>
      <c r="J154" s="4">
        <f t="shared" si="28"/>
        <v>226762</v>
      </c>
      <c r="K154" s="4">
        <f t="shared" si="34"/>
        <v>1806.585648148148</v>
      </c>
      <c r="L154" s="4">
        <f t="shared" si="35"/>
        <v>817.97453703703695</v>
      </c>
      <c r="M154" s="4">
        <f t="shared" si="29"/>
        <v>2624.5601851851852</v>
      </c>
      <c r="N154" s="5">
        <f t="shared" si="30"/>
        <v>5.1034286503429491E-2</v>
      </c>
      <c r="O154" s="7">
        <v>48.704746042174953</v>
      </c>
      <c r="P154" s="7">
        <v>29.969218985791557</v>
      </c>
      <c r="Q154" s="3">
        <v>24809.999999999945</v>
      </c>
      <c r="R154" s="3">
        <v>8859.9999999996726</v>
      </c>
      <c r="S154" s="3">
        <v>134.00000000000205</v>
      </c>
      <c r="T154" s="3">
        <f t="shared" si="36"/>
        <v>33803.999999999622</v>
      </c>
      <c r="U154" s="6">
        <f t="shared" si="37"/>
        <v>0.10382621141042089</v>
      </c>
      <c r="V154" s="6">
        <f t="shared" si="38"/>
        <v>3.7077800608476305E-2</v>
      </c>
      <c r="W154" s="6">
        <f t="shared" si="39"/>
        <v>5.6077034780316977E-4</v>
      </c>
      <c r="X154" s="6">
        <f t="shared" si="40"/>
        <v>0.14146478236670038</v>
      </c>
      <c r="Y154" s="6">
        <f t="shared" si="41"/>
        <v>0.15978370304545556</v>
      </c>
    </row>
    <row r="155" spans="1:25" x14ac:dyDescent="0.35">
      <c r="A155" s="2">
        <v>45200</v>
      </c>
      <c r="B155" s="3">
        <v>211399</v>
      </c>
      <c r="C155" s="3">
        <v>25466.400000000001</v>
      </c>
      <c r="D155" s="3">
        <f t="shared" si="31"/>
        <v>236865.4</v>
      </c>
      <c r="E155" s="4">
        <f t="shared" si="32"/>
        <v>2446.7476851851852</v>
      </c>
      <c r="F155" s="4">
        <f t="shared" si="32"/>
        <v>294.75</v>
      </c>
      <c r="G155" s="4">
        <f t="shared" si="33"/>
        <v>2741.4976851851852</v>
      </c>
      <c r="H155" s="3">
        <v>155173</v>
      </c>
      <c r="I155" s="3">
        <v>70645</v>
      </c>
      <c r="J155" s="4">
        <f t="shared" si="28"/>
        <v>225818</v>
      </c>
      <c r="K155" s="4">
        <f t="shared" si="34"/>
        <v>1795.9837962962961</v>
      </c>
      <c r="L155" s="4">
        <f t="shared" si="35"/>
        <v>817.65046296296293</v>
      </c>
      <c r="M155" s="4">
        <f t="shared" si="29"/>
        <v>2613.6342592592591</v>
      </c>
      <c r="N155" s="5">
        <f t="shared" si="30"/>
        <v>4.6639990475603424E-2</v>
      </c>
      <c r="O155" s="7">
        <v>47.837750484719159</v>
      </c>
      <c r="P155" s="7">
        <v>22.13166142031745</v>
      </c>
      <c r="Q155" s="3">
        <v>25169.999999999618</v>
      </c>
      <c r="R155" s="3">
        <v>8560.0000000004002</v>
      </c>
      <c r="S155" s="3">
        <v>143.60000000000355</v>
      </c>
      <c r="T155" s="3">
        <f t="shared" si="36"/>
        <v>33873.60000000002</v>
      </c>
      <c r="U155" s="6">
        <f t="shared" si="37"/>
        <v>0.10626288178855847</v>
      </c>
      <c r="V155" s="6">
        <f t="shared" si="38"/>
        <v>3.6138667783477033E-2</v>
      </c>
      <c r="W155" s="6">
        <f t="shared" si="39"/>
        <v>6.0625148290971811E-4</v>
      </c>
      <c r="X155" s="6">
        <f t="shared" si="40"/>
        <v>0.1430078010549452</v>
      </c>
      <c r="Y155" s="6">
        <f t="shared" si="41"/>
        <v>0.16023538427334102</v>
      </c>
    </row>
    <row r="156" spans="1:25" x14ac:dyDescent="0.35">
      <c r="A156" s="8">
        <v>45201</v>
      </c>
      <c r="B156" s="3">
        <v>210669</v>
      </c>
      <c r="C156" s="3">
        <v>33177.600000000006</v>
      </c>
      <c r="D156" s="3">
        <f t="shared" si="31"/>
        <v>243846.6</v>
      </c>
      <c r="E156" s="4">
        <f t="shared" si="32"/>
        <v>2438.2986111111109</v>
      </c>
      <c r="F156" s="4">
        <f t="shared" si="32"/>
        <v>384.00000000000006</v>
      </c>
      <c r="G156" s="4">
        <f t="shared" si="33"/>
        <v>2822.2986111111109</v>
      </c>
      <c r="H156" s="3">
        <v>156790</v>
      </c>
      <c r="I156" s="3">
        <v>75891</v>
      </c>
      <c r="J156" s="4">
        <f t="shared" si="28"/>
        <v>232681</v>
      </c>
      <c r="K156" s="4">
        <f t="shared" si="34"/>
        <v>1814.6990740740739</v>
      </c>
      <c r="L156" s="4">
        <f t="shared" si="35"/>
        <v>878.36805555555554</v>
      </c>
      <c r="M156" s="4">
        <f t="shared" si="29"/>
        <v>2693.0671296296296</v>
      </c>
      <c r="N156" s="5">
        <f t="shared" si="30"/>
        <v>4.5789443035088473E-2</v>
      </c>
      <c r="O156" s="7">
        <v>46.598299702307095</v>
      </c>
      <c r="P156" s="7">
        <v>23.796430534760542</v>
      </c>
      <c r="Q156" s="3">
        <v>26549.999999999727</v>
      </c>
      <c r="R156" s="3">
        <v>9559.9999999985812</v>
      </c>
      <c r="S156" s="3">
        <v>139.99999999999318</v>
      </c>
      <c r="T156" s="3">
        <f t="shared" si="36"/>
        <v>36249.999999998305</v>
      </c>
      <c r="U156" s="6">
        <f t="shared" si="37"/>
        <v>0.1088799269704795</v>
      </c>
      <c r="V156" s="6">
        <f t="shared" si="38"/>
        <v>3.9204975587105097E-2</v>
      </c>
      <c r="W156" s="6">
        <f t="shared" si="39"/>
        <v>5.7413144165222388E-4</v>
      </c>
      <c r="X156" s="6">
        <f t="shared" si="40"/>
        <v>0.14865903399923683</v>
      </c>
      <c r="Y156" s="6">
        <f t="shared" si="41"/>
        <v>0.17207087896177561</v>
      </c>
    </row>
    <row r="157" spans="1:25" x14ac:dyDescent="0.35">
      <c r="A157" s="2">
        <v>45202</v>
      </c>
      <c r="B157" s="3">
        <v>210572</v>
      </c>
      <c r="C157" s="3">
        <v>29633.4</v>
      </c>
      <c r="D157" s="3">
        <f t="shared" si="31"/>
        <v>240205.4</v>
      </c>
      <c r="E157" s="4">
        <f t="shared" si="32"/>
        <v>2437.1759259259256</v>
      </c>
      <c r="F157" s="4">
        <f t="shared" si="32"/>
        <v>342.97916666666669</v>
      </c>
      <c r="G157" s="4">
        <f t="shared" si="33"/>
        <v>2780.1550925925922</v>
      </c>
      <c r="H157" s="3">
        <v>157744</v>
      </c>
      <c r="I157" s="3">
        <v>75554</v>
      </c>
      <c r="J157" s="4">
        <f t="shared" si="28"/>
        <v>233298</v>
      </c>
      <c r="K157" s="4">
        <f t="shared" si="34"/>
        <v>1825.7407407407406</v>
      </c>
      <c r="L157" s="4">
        <f t="shared" si="35"/>
        <v>874.4675925925925</v>
      </c>
      <c r="M157" s="4">
        <f t="shared" si="29"/>
        <v>2700.208333333333</v>
      </c>
      <c r="N157" s="5">
        <f t="shared" si="30"/>
        <v>2.8756222799320892E-2</v>
      </c>
      <c r="O157" s="7">
        <v>48.205561081327893</v>
      </c>
      <c r="P157" s="7">
        <v>23.827201965569643</v>
      </c>
      <c r="Q157" s="3">
        <v>26519.999999999072</v>
      </c>
      <c r="R157" s="3">
        <v>9500.0000000004547</v>
      </c>
      <c r="S157" s="3">
        <v>137.60000000000218</v>
      </c>
      <c r="T157" s="3">
        <f t="shared" si="36"/>
        <v>36157.599999999526</v>
      </c>
      <c r="U157" s="6">
        <f t="shared" si="37"/>
        <v>0.11040551128325622</v>
      </c>
      <c r="V157" s="6">
        <f t="shared" si="38"/>
        <v>3.9549485565272283E-2</v>
      </c>
      <c r="W157" s="6">
        <f t="shared" si="39"/>
        <v>5.728430751348729E-4</v>
      </c>
      <c r="X157" s="6">
        <f t="shared" si="40"/>
        <v>0.15052783992366336</v>
      </c>
      <c r="Y157" s="6">
        <f t="shared" si="41"/>
        <v>0.17171133863951296</v>
      </c>
    </row>
    <row r="158" spans="1:25" x14ac:dyDescent="0.35">
      <c r="A158" s="2">
        <v>45203</v>
      </c>
      <c r="B158" s="3">
        <v>210093</v>
      </c>
      <c r="C158" s="3">
        <v>33940.800000000003</v>
      </c>
      <c r="D158" s="3">
        <f t="shared" si="31"/>
        <v>244033.8</v>
      </c>
      <c r="E158" s="4">
        <f t="shared" si="32"/>
        <v>2431.6319444444443</v>
      </c>
      <c r="F158" s="4">
        <f t="shared" si="32"/>
        <v>392.83333333333331</v>
      </c>
      <c r="G158" s="4">
        <f t="shared" si="33"/>
        <v>2824.4652777777778</v>
      </c>
      <c r="H158" s="3">
        <v>157486</v>
      </c>
      <c r="I158" s="3">
        <v>75637</v>
      </c>
      <c r="J158" s="4">
        <f t="shared" si="28"/>
        <v>233123</v>
      </c>
      <c r="K158" s="4">
        <f t="shared" si="34"/>
        <v>1822.7546296296296</v>
      </c>
      <c r="L158" s="4">
        <f t="shared" si="35"/>
        <v>875.42824074074065</v>
      </c>
      <c r="M158" s="4">
        <f t="shared" si="29"/>
        <v>2698.1828703703704</v>
      </c>
      <c r="N158" s="5">
        <f t="shared" si="30"/>
        <v>4.4710199980494462E-2</v>
      </c>
      <c r="O158" s="7">
        <v>48.775947855023354</v>
      </c>
      <c r="P158" s="7">
        <v>29.067370429957986</v>
      </c>
      <c r="Q158" s="3">
        <v>26580.00000000311</v>
      </c>
      <c r="R158" s="3">
        <v>9840.0000000006003</v>
      </c>
      <c r="S158" s="3">
        <v>119.59999999999809</v>
      </c>
      <c r="T158" s="3">
        <f t="shared" si="36"/>
        <v>36539.600000003709</v>
      </c>
      <c r="U158" s="6">
        <f t="shared" si="37"/>
        <v>0.1089193382228327</v>
      </c>
      <c r="V158" s="6">
        <f t="shared" si="38"/>
        <v>4.0322283224703305E-2</v>
      </c>
      <c r="W158" s="6">
        <f t="shared" si="39"/>
        <v>4.9009604407257554E-4</v>
      </c>
      <c r="X158" s="6">
        <f t="shared" si="40"/>
        <v>0.14973171749160857</v>
      </c>
      <c r="Y158" s="6">
        <f t="shared" si="41"/>
        <v>0.17392107304861995</v>
      </c>
    </row>
    <row r="159" spans="1:25" x14ac:dyDescent="0.35">
      <c r="A159" s="2">
        <v>45204</v>
      </c>
      <c r="B159" s="3">
        <v>209861</v>
      </c>
      <c r="C159" s="3">
        <v>32825.700000000004</v>
      </c>
      <c r="D159" s="3">
        <f t="shared" si="31"/>
        <v>242686.7</v>
      </c>
      <c r="E159" s="4">
        <f t="shared" si="32"/>
        <v>2428.9467592592591</v>
      </c>
      <c r="F159" s="4">
        <f t="shared" si="32"/>
        <v>379.92708333333337</v>
      </c>
      <c r="G159" s="4">
        <f t="shared" si="33"/>
        <v>2808.8738425925926</v>
      </c>
      <c r="H159" s="3">
        <v>158414</v>
      </c>
      <c r="I159" s="3">
        <v>75649</v>
      </c>
      <c r="J159" s="4">
        <f t="shared" si="28"/>
        <v>234063</v>
      </c>
      <c r="K159" s="4">
        <f t="shared" si="34"/>
        <v>1833.4953703703702</v>
      </c>
      <c r="L159" s="4">
        <f t="shared" si="35"/>
        <v>875.56712962962956</v>
      </c>
      <c r="M159" s="4">
        <f t="shared" si="29"/>
        <v>2709.0625</v>
      </c>
      <c r="N159" s="5">
        <f t="shared" si="30"/>
        <v>3.5534291743222896E-2</v>
      </c>
      <c r="O159" s="7">
        <v>47.069687120222895</v>
      </c>
      <c r="P159" s="7">
        <v>28.972120074163769</v>
      </c>
      <c r="Q159" s="3">
        <v>26819.999999998799</v>
      </c>
      <c r="R159" s="3">
        <v>9819.9999999992542</v>
      </c>
      <c r="S159" s="3">
        <v>126.7999999999995</v>
      </c>
      <c r="T159" s="3">
        <f t="shared" si="36"/>
        <v>36766.799999998053</v>
      </c>
      <c r="U159" s="6">
        <f t="shared" si="37"/>
        <v>0.11051285463933046</v>
      </c>
      <c r="V159" s="6">
        <f t="shared" si="38"/>
        <v>4.0463692489119733E-2</v>
      </c>
      <c r="W159" s="6">
        <f t="shared" si="39"/>
        <v>5.2248433886158368E-4</v>
      </c>
      <c r="X159" s="6">
        <f t="shared" si="40"/>
        <v>0.15149903146731178</v>
      </c>
      <c r="Y159" s="6">
        <f t="shared" si="41"/>
        <v>0.17519596304219484</v>
      </c>
    </row>
    <row r="160" spans="1:25" x14ac:dyDescent="0.35">
      <c r="A160" s="2">
        <v>45205</v>
      </c>
      <c r="B160" s="3">
        <v>210497</v>
      </c>
      <c r="C160" s="3">
        <v>31893.299999999996</v>
      </c>
      <c r="D160" s="3">
        <f t="shared" si="31"/>
        <v>242390.3</v>
      </c>
      <c r="E160" s="4">
        <f t="shared" si="32"/>
        <v>2436.30787037037</v>
      </c>
      <c r="F160" s="4">
        <f t="shared" si="32"/>
        <v>369.13541666666657</v>
      </c>
      <c r="G160" s="4">
        <f t="shared" si="33"/>
        <v>2805.4432870370365</v>
      </c>
      <c r="H160" s="3">
        <v>157472</v>
      </c>
      <c r="I160" s="3">
        <v>76354</v>
      </c>
      <c r="J160" s="4">
        <f t="shared" si="28"/>
        <v>233826</v>
      </c>
      <c r="K160" s="4">
        <f t="shared" si="34"/>
        <v>1822.5925925925924</v>
      </c>
      <c r="L160" s="4">
        <f t="shared" si="35"/>
        <v>883.72685185185185</v>
      </c>
      <c r="M160" s="4">
        <f t="shared" si="29"/>
        <v>2706.3194444444443</v>
      </c>
      <c r="N160" s="5">
        <f t="shared" si="30"/>
        <v>3.5332684517490956E-2</v>
      </c>
      <c r="O160" s="7">
        <v>48.67549885489229</v>
      </c>
      <c r="P160" s="7">
        <v>41.222481370269996</v>
      </c>
      <c r="Q160" s="3">
        <v>26459.999999997763</v>
      </c>
      <c r="R160" s="3">
        <v>10020.000000000437</v>
      </c>
      <c r="S160" s="3">
        <v>109.60000000000264</v>
      </c>
      <c r="T160" s="3">
        <f t="shared" si="36"/>
        <v>36589.599999998201</v>
      </c>
      <c r="U160" s="6">
        <f t="shared" si="37"/>
        <v>0.10916278415430718</v>
      </c>
      <c r="V160" s="6">
        <f t="shared" si="38"/>
        <v>4.1338287877033184E-2</v>
      </c>
      <c r="W160" s="6">
        <f t="shared" si="39"/>
        <v>4.5216330851524439E-4</v>
      </c>
      <c r="X160" s="6">
        <f t="shared" si="40"/>
        <v>0.15095323533985561</v>
      </c>
      <c r="Y160" s="6">
        <f t="shared" si="41"/>
        <v>0.1738248051041022</v>
      </c>
    </row>
    <row r="161" spans="1:25" x14ac:dyDescent="0.35">
      <c r="A161" s="2">
        <v>45206</v>
      </c>
      <c r="B161" s="3">
        <v>211501</v>
      </c>
      <c r="C161" s="3">
        <v>26881.199999999997</v>
      </c>
      <c r="D161" s="3">
        <f t="shared" si="31"/>
        <v>238382.2</v>
      </c>
      <c r="E161" s="4">
        <f t="shared" si="32"/>
        <v>2447.9282407407404</v>
      </c>
      <c r="F161" s="4">
        <f t="shared" si="32"/>
        <v>311.12499999999994</v>
      </c>
      <c r="G161" s="4">
        <f t="shared" si="33"/>
        <v>2759.0532407407404</v>
      </c>
      <c r="H161" s="3">
        <v>156322</v>
      </c>
      <c r="I161" s="3">
        <v>70682</v>
      </c>
      <c r="J161" s="4">
        <f t="shared" si="28"/>
        <v>227004</v>
      </c>
      <c r="K161" s="4">
        <f t="shared" si="34"/>
        <v>1809.2824074074074</v>
      </c>
      <c r="L161" s="4">
        <f t="shared" si="35"/>
        <v>818.0787037037037</v>
      </c>
      <c r="M161" s="4">
        <f t="shared" si="29"/>
        <v>2627.3611111111113</v>
      </c>
      <c r="N161" s="5">
        <f t="shared" si="30"/>
        <v>4.7730912794663405E-2</v>
      </c>
      <c r="O161" s="7">
        <v>48.501466010530976</v>
      </c>
      <c r="P161" s="7">
        <v>23.985689489780061</v>
      </c>
      <c r="Q161" s="3">
        <v>25020.000000000437</v>
      </c>
      <c r="R161" s="3">
        <v>9959.9999999995816</v>
      </c>
      <c r="S161" s="3">
        <v>141.59999999999627</v>
      </c>
      <c r="T161" s="3">
        <f t="shared" si="36"/>
        <v>35121.600000000013</v>
      </c>
      <c r="U161" s="6">
        <f t="shared" si="37"/>
        <v>0.10495750102147071</v>
      </c>
      <c r="V161" s="6">
        <f t="shared" si="38"/>
        <v>4.1781643092477463E-2</v>
      </c>
      <c r="W161" s="6">
        <f t="shared" si="39"/>
        <v>5.9400408251956841E-4</v>
      </c>
      <c r="X161" s="6">
        <f t="shared" si="40"/>
        <v>0.14733314819646773</v>
      </c>
      <c r="Y161" s="6">
        <f t="shared" si="41"/>
        <v>0.16605878932014512</v>
      </c>
    </row>
    <row r="162" spans="1:25" x14ac:dyDescent="0.35">
      <c r="A162" s="2">
        <v>45207</v>
      </c>
      <c r="B162" s="3">
        <v>211811</v>
      </c>
      <c r="C162" s="3">
        <v>23468.400000000001</v>
      </c>
      <c r="D162" s="3">
        <f t="shared" si="31"/>
        <v>235279.4</v>
      </c>
      <c r="E162" s="4">
        <f t="shared" si="32"/>
        <v>2451.5162037037035</v>
      </c>
      <c r="F162" s="4">
        <f t="shared" si="32"/>
        <v>271.625</v>
      </c>
      <c r="G162" s="4">
        <f t="shared" si="33"/>
        <v>2723.1412037037035</v>
      </c>
      <c r="H162" s="3">
        <v>154755</v>
      </c>
      <c r="I162" s="3">
        <v>70287</v>
      </c>
      <c r="J162" s="4">
        <f t="shared" si="28"/>
        <v>225042</v>
      </c>
      <c r="K162" s="4">
        <f t="shared" si="34"/>
        <v>1791.1458333333333</v>
      </c>
      <c r="L162" s="4">
        <f t="shared" si="35"/>
        <v>813.50694444444434</v>
      </c>
      <c r="M162" s="4">
        <f t="shared" si="29"/>
        <v>2604.6527777777774</v>
      </c>
      <c r="N162" s="5">
        <f t="shared" si="30"/>
        <v>4.3511671655061999E-2</v>
      </c>
      <c r="O162" s="7">
        <v>48.729252456048421</v>
      </c>
      <c r="P162" s="7">
        <v>19.585973284746885</v>
      </c>
      <c r="Q162" s="3">
        <v>24359.999999999673</v>
      </c>
      <c r="R162" s="3">
        <v>8880.0000000005639</v>
      </c>
      <c r="S162" s="3">
        <v>112.00000000000728</v>
      </c>
      <c r="T162" s="3">
        <f t="shared" si="36"/>
        <v>33352.00000000024</v>
      </c>
      <c r="U162" s="6">
        <f t="shared" si="37"/>
        <v>0.10353647620658533</v>
      </c>
      <c r="V162" s="6">
        <f t="shared" si="38"/>
        <v>3.7742360784669478E-2</v>
      </c>
      <c r="W162" s="6">
        <f t="shared" si="39"/>
        <v>4.7602977566249863E-4</v>
      </c>
      <c r="X162" s="6">
        <f t="shared" si="40"/>
        <v>0.14175486676691729</v>
      </c>
      <c r="Y162" s="6">
        <f t="shared" si="41"/>
        <v>0.15746113280235796</v>
      </c>
    </row>
    <row r="163" spans="1:25" x14ac:dyDescent="0.35">
      <c r="A163" s="2">
        <v>45208</v>
      </c>
      <c r="B163" s="3">
        <v>211359</v>
      </c>
      <c r="C163" s="3">
        <v>31712.400000000001</v>
      </c>
      <c r="D163" s="3">
        <f t="shared" si="31"/>
        <v>243071.4</v>
      </c>
      <c r="E163" s="4">
        <f t="shared" si="32"/>
        <v>2446.2847222222222</v>
      </c>
      <c r="F163" s="4">
        <f t="shared" si="32"/>
        <v>367.04166666666669</v>
      </c>
      <c r="G163" s="4">
        <f t="shared" si="33"/>
        <v>2813.3263888888887</v>
      </c>
      <c r="H163" s="3">
        <v>158067</v>
      </c>
      <c r="I163" s="3">
        <v>74949</v>
      </c>
      <c r="J163" s="4">
        <f t="shared" si="28"/>
        <v>233016</v>
      </c>
      <c r="K163" s="4">
        <f t="shared" si="34"/>
        <v>1829.4791666666665</v>
      </c>
      <c r="L163" s="4">
        <f t="shared" si="35"/>
        <v>867.46527777777771</v>
      </c>
      <c r="M163" s="4">
        <f t="shared" si="29"/>
        <v>2696.9444444444443</v>
      </c>
      <c r="N163" s="5">
        <f t="shared" si="30"/>
        <v>4.1368091844618475E-2</v>
      </c>
      <c r="O163" s="7">
        <v>48.235469237596028</v>
      </c>
      <c r="P163" s="7">
        <v>22.009116184191651</v>
      </c>
      <c r="Q163" s="3">
        <v>26430.000000001201</v>
      </c>
      <c r="R163" s="3">
        <v>10299.999999999272</v>
      </c>
      <c r="S163" s="3">
        <v>103.99999999999523</v>
      </c>
      <c r="T163" s="3">
        <f t="shared" si="36"/>
        <v>36834.000000000466</v>
      </c>
      <c r="U163" s="6">
        <f t="shared" si="37"/>
        <v>0.10873348324813698</v>
      </c>
      <c r="V163" s="6">
        <f t="shared" si="38"/>
        <v>4.2374380531807823E-2</v>
      </c>
      <c r="W163" s="6">
        <f t="shared" si="39"/>
        <v>4.2785782284544881E-4</v>
      </c>
      <c r="X163" s="6">
        <f t="shared" si="40"/>
        <v>0.15153572160279025</v>
      </c>
      <c r="Y163" s="6">
        <f t="shared" si="41"/>
        <v>0.17427220984202454</v>
      </c>
    </row>
    <row r="164" spans="1:25" x14ac:dyDescent="0.35">
      <c r="A164" s="2">
        <v>45209</v>
      </c>
      <c r="B164" s="3">
        <v>211773</v>
      </c>
      <c r="C164" s="3">
        <v>31420.799999999996</v>
      </c>
      <c r="D164" s="3">
        <f t="shared" si="31"/>
        <v>243193.8</v>
      </c>
      <c r="E164" s="4">
        <f t="shared" si="32"/>
        <v>2451.0763888888887</v>
      </c>
      <c r="F164" s="4">
        <f t="shared" si="32"/>
        <v>363.66666666666657</v>
      </c>
      <c r="G164" s="4">
        <f t="shared" si="33"/>
        <v>2814.7430555555552</v>
      </c>
      <c r="H164" s="3">
        <v>157779</v>
      </c>
      <c r="I164" s="3">
        <v>74660</v>
      </c>
      <c r="J164" s="4">
        <f t="shared" si="28"/>
        <v>232439</v>
      </c>
      <c r="K164" s="4">
        <f t="shared" si="34"/>
        <v>1826.1458333333333</v>
      </c>
      <c r="L164" s="4">
        <f t="shared" si="35"/>
        <v>864.12037037037032</v>
      </c>
      <c r="M164" s="4">
        <f t="shared" si="29"/>
        <v>2690.2662037037035</v>
      </c>
      <c r="N164" s="5">
        <f t="shared" si="30"/>
        <v>4.4223166873497553E-2</v>
      </c>
      <c r="O164" s="7">
        <v>47.549304635910943</v>
      </c>
      <c r="P164" s="7">
        <v>26.420925082443468</v>
      </c>
      <c r="Q164" s="3">
        <v>26520.000000000437</v>
      </c>
      <c r="R164" s="3">
        <v>9960.0000000004911</v>
      </c>
      <c r="S164" s="3">
        <v>133.20000000000391</v>
      </c>
      <c r="T164" s="3">
        <f t="shared" si="36"/>
        <v>36613.200000000936</v>
      </c>
      <c r="U164" s="6">
        <f t="shared" si="37"/>
        <v>0.10904883265938703</v>
      </c>
      <c r="V164" s="6">
        <f t="shared" si="38"/>
        <v>4.0954991451264348E-2</v>
      </c>
      <c r="W164" s="6">
        <f t="shared" si="39"/>
        <v>5.4771133145665681E-4</v>
      </c>
      <c r="X164" s="6">
        <f t="shared" si="40"/>
        <v>0.15055153544210806</v>
      </c>
      <c r="Y164" s="6">
        <f t="shared" si="41"/>
        <v>0.17288889518494302</v>
      </c>
    </row>
    <row r="165" spans="1:25" x14ac:dyDescent="0.35">
      <c r="A165" s="2">
        <v>45210</v>
      </c>
      <c r="B165" s="3">
        <v>211353</v>
      </c>
      <c r="C165" s="3">
        <v>30651.120000000003</v>
      </c>
      <c r="D165" s="3">
        <f t="shared" si="31"/>
        <v>242004.12</v>
      </c>
      <c r="E165" s="4">
        <f t="shared" si="32"/>
        <v>2446.2152777777778</v>
      </c>
      <c r="F165" s="4">
        <f t="shared" si="32"/>
        <v>354.75833333333333</v>
      </c>
      <c r="G165" s="4">
        <f t="shared" si="33"/>
        <v>2800.973611111111</v>
      </c>
      <c r="H165" s="3">
        <v>158956</v>
      </c>
      <c r="I165" s="3">
        <v>74656</v>
      </c>
      <c r="J165" s="4">
        <f t="shared" si="28"/>
        <v>233612</v>
      </c>
      <c r="K165" s="4">
        <f t="shared" si="34"/>
        <v>1839.7685185185185</v>
      </c>
      <c r="L165" s="4">
        <f t="shared" si="35"/>
        <v>864.07407407407402</v>
      </c>
      <c r="M165" s="4">
        <f t="shared" si="29"/>
        <v>2703.8425925925926</v>
      </c>
      <c r="N165" s="5">
        <f t="shared" si="30"/>
        <v>3.4677591439352333E-2</v>
      </c>
      <c r="O165" s="7">
        <v>53.58798057555714</v>
      </c>
      <c r="P165" s="7">
        <v>44.960929446414433</v>
      </c>
      <c r="Q165" s="3">
        <v>26489.999999998417</v>
      </c>
      <c r="R165" s="3">
        <v>10400.000000000091</v>
      </c>
      <c r="S165" s="3">
        <v>153.20000000000164</v>
      </c>
      <c r="T165" s="3">
        <f t="shared" si="36"/>
        <v>37043.199999998513</v>
      </c>
      <c r="U165" s="6">
        <f t="shared" si="37"/>
        <v>0.10946094636735283</v>
      </c>
      <c r="V165" s="6">
        <f t="shared" si="38"/>
        <v>4.2974474980013111E-2</v>
      </c>
      <c r="W165" s="6">
        <f t="shared" si="39"/>
        <v>6.3304707374404058E-4</v>
      </c>
      <c r="X165" s="6">
        <f t="shared" si="40"/>
        <v>0.15306846842110999</v>
      </c>
      <c r="Y165" s="6">
        <f t="shared" si="41"/>
        <v>0.17526697042388095</v>
      </c>
    </row>
    <row r="166" spans="1:25" x14ac:dyDescent="0.35">
      <c r="A166" s="2">
        <v>45211</v>
      </c>
      <c r="B166" s="3">
        <v>211221</v>
      </c>
      <c r="C166" s="3">
        <v>30775.5</v>
      </c>
      <c r="D166" s="3">
        <f t="shared" si="31"/>
        <v>241996.5</v>
      </c>
      <c r="E166" s="4">
        <f t="shared" si="32"/>
        <v>2444.6875</v>
      </c>
      <c r="F166" s="4">
        <f t="shared" si="32"/>
        <v>356.19791666666663</v>
      </c>
      <c r="G166" s="4">
        <f t="shared" si="33"/>
        <v>2800.8854166666665</v>
      </c>
      <c r="H166" s="3">
        <v>157744</v>
      </c>
      <c r="I166" s="3">
        <v>74066</v>
      </c>
      <c r="J166" s="4">
        <f t="shared" si="28"/>
        <v>231810</v>
      </c>
      <c r="K166" s="4">
        <f t="shared" si="34"/>
        <v>1825.7407407407406</v>
      </c>
      <c r="L166" s="4">
        <f t="shared" si="35"/>
        <v>857.24537037037032</v>
      </c>
      <c r="M166" s="4">
        <f t="shared" si="29"/>
        <v>2682.9861111111109</v>
      </c>
      <c r="N166" s="5">
        <f t="shared" si="30"/>
        <v>4.2093583998115677E-2</v>
      </c>
      <c r="O166" s="7">
        <v>49.352645517424726</v>
      </c>
      <c r="P166" s="7">
        <v>30.622117502107152</v>
      </c>
      <c r="Q166" s="3">
        <v>26220.000000000709</v>
      </c>
      <c r="R166" s="3">
        <v>10359.999999999218</v>
      </c>
      <c r="S166" s="3">
        <v>133.59999999999445</v>
      </c>
      <c r="T166" s="3">
        <f t="shared" si="36"/>
        <v>36713.599999999919</v>
      </c>
      <c r="U166" s="6">
        <f t="shared" si="37"/>
        <v>0.10834867446430303</v>
      </c>
      <c r="V166" s="6">
        <f t="shared" si="38"/>
        <v>4.2810536516020757E-2</v>
      </c>
      <c r="W166" s="6">
        <f t="shared" si="39"/>
        <v>5.5207410024522851E-4</v>
      </c>
      <c r="X166" s="6">
        <f t="shared" si="40"/>
        <v>0.151711285080569</v>
      </c>
      <c r="Y166" s="6">
        <f t="shared" si="41"/>
        <v>0.17381605048740381</v>
      </c>
    </row>
    <row r="167" spans="1:25" x14ac:dyDescent="0.35">
      <c r="A167" s="2">
        <v>45212</v>
      </c>
      <c r="B167" s="3">
        <v>211320</v>
      </c>
      <c r="C167" s="3">
        <v>26686.799999999996</v>
      </c>
      <c r="D167" s="3">
        <f t="shared" si="31"/>
        <v>238006.8</v>
      </c>
      <c r="E167" s="4">
        <f t="shared" si="32"/>
        <v>2445.833333333333</v>
      </c>
      <c r="F167" s="4">
        <f t="shared" si="32"/>
        <v>308.87499999999994</v>
      </c>
      <c r="G167" s="4">
        <f t="shared" si="33"/>
        <v>2754.708333333333</v>
      </c>
      <c r="H167" s="3">
        <v>158392</v>
      </c>
      <c r="I167" s="3">
        <v>74211</v>
      </c>
      <c r="J167" s="4">
        <f t="shared" si="28"/>
        <v>232603</v>
      </c>
      <c r="K167" s="4">
        <f t="shared" si="34"/>
        <v>1833.2407407407406</v>
      </c>
      <c r="L167" s="4">
        <f t="shared" si="35"/>
        <v>858.92361111111109</v>
      </c>
      <c r="M167" s="4">
        <f t="shared" si="29"/>
        <v>2692.1643518518517</v>
      </c>
      <c r="N167" s="5">
        <f t="shared" si="30"/>
        <v>2.2704393319854681E-2</v>
      </c>
      <c r="O167" s="7">
        <v>53.111504723211681</v>
      </c>
      <c r="P167" s="7">
        <v>31.087863700697156</v>
      </c>
      <c r="Q167" s="3">
        <v>26459.999999999127</v>
      </c>
      <c r="R167" s="3">
        <v>8540.0000000013279</v>
      </c>
      <c r="S167" s="3">
        <v>105.99999999999909</v>
      </c>
      <c r="T167" s="3">
        <f t="shared" si="36"/>
        <v>35106.000000000451</v>
      </c>
      <c r="U167" s="6">
        <f t="shared" si="37"/>
        <v>0.11117329420839711</v>
      </c>
      <c r="V167" s="6">
        <f t="shared" si="38"/>
        <v>3.5881327760388895E-2</v>
      </c>
      <c r="W167" s="6">
        <f t="shared" si="39"/>
        <v>4.4536542653402802E-4</v>
      </c>
      <c r="X167" s="6">
        <f t="shared" si="40"/>
        <v>0.14749998739532003</v>
      </c>
      <c r="Y167" s="6">
        <f t="shared" si="41"/>
        <v>0.16612720045428947</v>
      </c>
    </row>
    <row r="168" spans="1:25" x14ac:dyDescent="0.35">
      <c r="A168" s="2">
        <v>45213</v>
      </c>
      <c r="B168" s="3">
        <v>212066</v>
      </c>
      <c r="C168" s="3">
        <v>24051.599999999999</v>
      </c>
      <c r="D168" s="3">
        <f t="shared" si="31"/>
        <v>236117.6</v>
      </c>
      <c r="E168" s="4">
        <f t="shared" si="32"/>
        <v>2454.4675925925926</v>
      </c>
      <c r="F168" s="4">
        <f t="shared" si="32"/>
        <v>278.37499999999994</v>
      </c>
      <c r="G168" s="4">
        <f t="shared" si="33"/>
        <v>2732.8425925925926</v>
      </c>
      <c r="H168" s="3">
        <v>155825</v>
      </c>
      <c r="I168" s="3">
        <v>69520</v>
      </c>
      <c r="J168" s="4">
        <f t="shared" si="28"/>
        <v>225345</v>
      </c>
      <c r="K168" s="4">
        <f t="shared" si="34"/>
        <v>1803.5300925925924</v>
      </c>
      <c r="L168" s="4">
        <f t="shared" si="35"/>
        <v>804.62962962962956</v>
      </c>
      <c r="M168" s="4">
        <f t="shared" si="29"/>
        <v>2608.1597222222217</v>
      </c>
      <c r="N168" s="5">
        <f t="shared" si="30"/>
        <v>4.5623875560314039E-2</v>
      </c>
      <c r="O168" s="7">
        <v>52.697634232708481</v>
      </c>
      <c r="P168" s="7">
        <v>25.222726836720106</v>
      </c>
      <c r="Q168" s="3">
        <v>24810.00000000131</v>
      </c>
      <c r="R168" s="3">
        <v>8879.9999999987449</v>
      </c>
      <c r="S168" s="3">
        <v>133.60000000000582</v>
      </c>
      <c r="T168" s="3">
        <f t="shared" si="36"/>
        <v>33823.600000000064</v>
      </c>
      <c r="U168" s="6">
        <f t="shared" si="37"/>
        <v>0.10507475935720721</v>
      </c>
      <c r="V168" s="6">
        <f t="shared" si="38"/>
        <v>3.7608378197977382E-2</v>
      </c>
      <c r="W168" s="6">
        <f t="shared" si="39"/>
        <v>5.6581974405976439E-4</v>
      </c>
      <c r="X168" s="6">
        <f t="shared" si="40"/>
        <v>0.14324895729924436</v>
      </c>
      <c r="Y168" s="6">
        <f t="shared" si="41"/>
        <v>0.15949562871936127</v>
      </c>
    </row>
    <row r="169" spans="1:25" x14ac:dyDescent="0.35">
      <c r="A169" s="2">
        <v>45214</v>
      </c>
      <c r="B169" s="3">
        <v>211750</v>
      </c>
      <c r="C169" s="3">
        <v>24051.599999999999</v>
      </c>
      <c r="D169" s="3">
        <f t="shared" si="31"/>
        <v>235801.60000000001</v>
      </c>
      <c r="E169" s="4">
        <f t="shared" si="32"/>
        <v>2450.8101851851852</v>
      </c>
      <c r="F169" s="4">
        <f t="shared" si="32"/>
        <v>278.37499999999994</v>
      </c>
      <c r="G169" s="4">
        <f t="shared" si="33"/>
        <v>2729.1851851851852</v>
      </c>
      <c r="H169" s="3">
        <v>155576</v>
      </c>
      <c r="I169" s="3">
        <v>69311</v>
      </c>
      <c r="J169" s="4">
        <f t="shared" si="28"/>
        <v>224887</v>
      </c>
      <c r="K169" s="4">
        <f t="shared" si="34"/>
        <v>1800.648148148148</v>
      </c>
      <c r="L169" s="4">
        <f t="shared" si="35"/>
        <v>802.21064814814804</v>
      </c>
      <c r="M169" s="4">
        <f t="shared" si="29"/>
        <v>2602.8587962962961</v>
      </c>
      <c r="N169" s="5">
        <f t="shared" si="30"/>
        <v>4.6287217728802545E-2</v>
      </c>
      <c r="O169" s="7">
        <v>49.387361491137753</v>
      </c>
      <c r="P169" s="7">
        <v>29.698027762125434</v>
      </c>
      <c r="Q169" s="3">
        <v>25050.000000001091</v>
      </c>
      <c r="R169" s="3">
        <v>8880.0000000010186</v>
      </c>
      <c r="S169" s="3">
        <v>136.39999999999418</v>
      </c>
      <c r="T169" s="3">
        <f t="shared" si="36"/>
        <v>34066.400000002104</v>
      </c>
      <c r="U169" s="6">
        <f t="shared" si="37"/>
        <v>0.10623337585496066</v>
      </c>
      <c r="V169" s="6">
        <f t="shared" si="38"/>
        <v>3.7658777548587534E-2</v>
      </c>
      <c r="W169" s="6">
        <f t="shared" si="39"/>
        <v>5.784523938768616E-4</v>
      </c>
      <c r="X169" s="6">
        <f t="shared" si="40"/>
        <v>0.14447060579742504</v>
      </c>
      <c r="Y169" s="6">
        <f t="shared" si="41"/>
        <v>0.16088028335302057</v>
      </c>
    </row>
    <row r="170" spans="1:25" x14ac:dyDescent="0.35">
      <c r="A170" s="2">
        <v>45215</v>
      </c>
      <c r="B170" s="3">
        <v>213158</v>
      </c>
      <c r="C170" s="3">
        <v>28821.599999999999</v>
      </c>
      <c r="D170" s="3">
        <f t="shared" si="31"/>
        <v>241979.6</v>
      </c>
      <c r="E170" s="4">
        <f t="shared" si="32"/>
        <v>2467.1064814814813</v>
      </c>
      <c r="F170" s="4">
        <f t="shared" si="32"/>
        <v>333.58333333333331</v>
      </c>
      <c r="G170" s="4">
        <f t="shared" si="33"/>
        <v>2800.6898148148148</v>
      </c>
      <c r="H170" s="3">
        <v>158011</v>
      </c>
      <c r="I170" s="3">
        <v>74750</v>
      </c>
      <c r="J170" s="4">
        <f t="shared" si="28"/>
        <v>232761</v>
      </c>
      <c r="K170" s="4">
        <f t="shared" si="34"/>
        <v>1828.8310185185185</v>
      </c>
      <c r="L170" s="4">
        <f t="shared" si="35"/>
        <v>865.16203703703695</v>
      </c>
      <c r="M170" s="4">
        <f t="shared" si="29"/>
        <v>2693.9930555555557</v>
      </c>
      <c r="N170" s="5">
        <f t="shared" si="30"/>
        <v>3.8096599878667481E-2</v>
      </c>
      <c r="O170" s="7">
        <v>49.205159453841688</v>
      </c>
      <c r="P170" s="7">
        <v>27.068192809518571</v>
      </c>
      <c r="Q170" s="3">
        <v>26819.999999998799</v>
      </c>
      <c r="R170" s="3">
        <v>9980.0000000000182</v>
      </c>
      <c r="S170" s="3">
        <v>122.80000000000655</v>
      </c>
      <c r="T170" s="3">
        <f t="shared" si="36"/>
        <v>36922.799999998824</v>
      </c>
      <c r="U170" s="6">
        <f t="shared" si="37"/>
        <v>0.11083578946323905</v>
      </c>
      <c r="V170" s="6">
        <f t="shared" si="38"/>
        <v>4.124314611644956E-2</v>
      </c>
      <c r="W170" s="6">
        <f t="shared" si="39"/>
        <v>5.0748079590183038E-4</v>
      </c>
      <c r="X170" s="6">
        <f t="shared" si="40"/>
        <v>0.15258641637559042</v>
      </c>
      <c r="Y170" s="6">
        <f t="shared" si="41"/>
        <v>0.17321798853432113</v>
      </c>
    </row>
    <row r="171" spans="1:25" x14ac:dyDescent="0.35">
      <c r="A171" s="2">
        <v>45216</v>
      </c>
      <c r="B171" s="3">
        <v>214677</v>
      </c>
      <c r="C171" s="3">
        <v>30063.599999999999</v>
      </c>
      <c r="D171" s="3">
        <f t="shared" si="31"/>
        <v>244740.6</v>
      </c>
      <c r="E171" s="4">
        <f t="shared" si="32"/>
        <v>2484.6875</v>
      </c>
      <c r="F171" s="4">
        <f t="shared" si="32"/>
        <v>347.95833333333331</v>
      </c>
      <c r="G171" s="4">
        <f t="shared" si="33"/>
        <v>2832.6458333333335</v>
      </c>
      <c r="H171" s="3">
        <v>157782</v>
      </c>
      <c r="I171" s="3">
        <v>75004</v>
      </c>
      <c r="J171" s="4">
        <f t="shared" si="28"/>
        <v>232786</v>
      </c>
      <c r="K171" s="4">
        <f t="shared" si="34"/>
        <v>1826.1805555555554</v>
      </c>
      <c r="L171" s="4">
        <f t="shared" si="35"/>
        <v>868.10185185185185</v>
      </c>
      <c r="M171" s="4">
        <f t="shared" si="29"/>
        <v>2694.2824074074074</v>
      </c>
      <c r="N171" s="5">
        <f t="shared" si="30"/>
        <v>4.8846002665679525E-2</v>
      </c>
      <c r="O171" s="7">
        <v>48.088815604548707</v>
      </c>
      <c r="P171" s="7">
        <v>39.138033008047238</v>
      </c>
      <c r="Q171" s="3">
        <v>26820.000000000164</v>
      </c>
      <c r="R171" s="3">
        <v>9420.0000000000728</v>
      </c>
      <c r="S171" s="3">
        <v>114.00000000000091</v>
      </c>
      <c r="T171" s="3">
        <f t="shared" si="36"/>
        <v>36354.000000000233</v>
      </c>
      <c r="U171" s="6">
        <f t="shared" si="37"/>
        <v>0.10958541410783565</v>
      </c>
      <c r="V171" s="6">
        <f t="shared" si="38"/>
        <v>3.8489731577025114E-2</v>
      </c>
      <c r="W171" s="6">
        <f t="shared" si="39"/>
        <v>4.6579929933979446E-4</v>
      </c>
      <c r="X171" s="6">
        <f t="shared" si="40"/>
        <v>0.14854094498420053</v>
      </c>
      <c r="Y171" s="6">
        <f t="shared" si="41"/>
        <v>0.16934278008356848</v>
      </c>
    </row>
    <row r="172" spans="1:25" x14ac:dyDescent="0.35">
      <c r="A172" s="2">
        <v>45217</v>
      </c>
      <c r="B172" s="3">
        <v>212076</v>
      </c>
      <c r="C172" s="3">
        <v>27930.6</v>
      </c>
      <c r="D172" s="3">
        <f t="shared" si="31"/>
        <v>240006.6</v>
      </c>
      <c r="E172" s="4">
        <f t="shared" si="32"/>
        <v>2454.583333333333</v>
      </c>
      <c r="F172" s="4">
        <f t="shared" si="32"/>
        <v>323.27083333333331</v>
      </c>
      <c r="G172" s="4">
        <f t="shared" si="33"/>
        <v>2777.8541666666665</v>
      </c>
      <c r="H172" s="3">
        <v>157378</v>
      </c>
      <c r="I172" s="3">
        <v>74674</v>
      </c>
      <c r="J172" s="4">
        <f t="shared" si="28"/>
        <v>232052</v>
      </c>
      <c r="K172" s="4">
        <f t="shared" si="34"/>
        <v>1821.5046296296296</v>
      </c>
      <c r="L172" s="4">
        <f t="shared" si="35"/>
        <v>864.28240740740739</v>
      </c>
      <c r="M172" s="4">
        <f t="shared" si="29"/>
        <v>2685.787037037037</v>
      </c>
      <c r="N172" s="5">
        <f t="shared" si="30"/>
        <v>3.3143255227147943E-2</v>
      </c>
      <c r="O172" s="7">
        <v>49.299819966682577</v>
      </c>
      <c r="P172" s="7">
        <v>44.580329738049883</v>
      </c>
      <c r="Q172" s="3">
        <v>26610.000000001037</v>
      </c>
      <c r="R172" s="3">
        <v>9360.0000000001273</v>
      </c>
      <c r="S172" s="3">
        <v>135.199999999993</v>
      </c>
      <c r="T172" s="3">
        <f t="shared" si="36"/>
        <v>36105.200000001154</v>
      </c>
      <c r="U172" s="6">
        <f t="shared" si="37"/>
        <v>0.11087195102135124</v>
      </c>
      <c r="V172" s="6">
        <f t="shared" si="38"/>
        <v>3.8998927529493466E-2</v>
      </c>
      <c r="W172" s="6">
        <f t="shared" si="39"/>
        <v>5.6331784209264662E-4</v>
      </c>
      <c r="X172" s="6">
        <f t="shared" si="40"/>
        <v>0.15043419639293734</v>
      </c>
      <c r="Y172" s="6">
        <f t="shared" si="41"/>
        <v>0.17024651540014502</v>
      </c>
    </row>
    <row r="173" spans="1:25" x14ac:dyDescent="0.35">
      <c r="A173" s="2">
        <v>45218</v>
      </c>
      <c r="B173" s="3">
        <v>211949</v>
      </c>
      <c r="C173" s="3">
        <v>28581.300000000003</v>
      </c>
      <c r="D173" s="3">
        <f t="shared" si="31"/>
        <v>240530.3</v>
      </c>
      <c r="E173" s="4">
        <f t="shared" si="32"/>
        <v>2453.1134259259256</v>
      </c>
      <c r="F173" s="4">
        <f t="shared" si="32"/>
        <v>330.80208333333337</v>
      </c>
      <c r="G173" s="4">
        <f t="shared" si="33"/>
        <v>2783.9155092592591</v>
      </c>
      <c r="H173" s="3">
        <v>157755</v>
      </c>
      <c r="I173" s="3">
        <v>74522</v>
      </c>
      <c r="J173" s="4">
        <f t="shared" si="28"/>
        <v>232277</v>
      </c>
      <c r="K173" s="4">
        <f t="shared" si="34"/>
        <v>1825.8680555555554</v>
      </c>
      <c r="L173" s="4">
        <f t="shared" si="35"/>
        <v>862.52314814814804</v>
      </c>
      <c r="M173" s="4">
        <f t="shared" si="29"/>
        <v>2688.3912037037035</v>
      </c>
      <c r="N173" s="5">
        <f t="shared" si="30"/>
        <v>3.4312932715753433E-2</v>
      </c>
      <c r="O173" s="7">
        <v>50.873256082331409</v>
      </c>
      <c r="P173" s="7">
        <v>37.940224939751324</v>
      </c>
      <c r="Q173" s="3">
        <v>26849.99999999809</v>
      </c>
      <c r="R173" s="3">
        <v>9359.9999999992178</v>
      </c>
      <c r="S173" s="3">
        <v>114.80000000000473</v>
      </c>
      <c r="T173" s="3">
        <f t="shared" si="36"/>
        <v>36324.799999997311</v>
      </c>
      <c r="U173" s="6">
        <f t="shared" si="37"/>
        <v>0.11162834786302638</v>
      </c>
      <c r="V173" s="6">
        <f t="shared" si="38"/>
        <v>3.8914016238283569E-2</v>
      </c>
      <c r="W173" s="6">
        <f t="shared" si="39"/>
        <v>4.7727874617046058E-4</v>
      </c>
      <c r="X173" s="6">
        <f t="shared" si="40"/>
        <v>0.1510196428474804</v>
      </c>
      <c r="Y173" s="6">
        <f t="shared" si="41"/>
        <v>0.17138462554669903</v>
      </c>
    </row>
    <row r="174" spans="1:25" x14ac:dyDescent="0.35">
      <c r="A174" s="2">
        <v>45219</v>
      </c>
      <c r="B174" s="3">
        <v>212017</v>
      </c>
      <c r="C174" s="3">
        <v>26938.799999999996</v>
      </c>
      <c r="D174" s="3">
        <f t="shared" si="31"/>
        <v>238955.8</v>
      </c>
      <c r="E174" s="4">
        <f t="shared" si="32"/>
        <v>2453.9004629629626</v>
      </c>
      <c r="F174" s="4">
        <f t="shared" si="32"/>
        <v>311.79166666666657</v>
      </c>
      <c r="G174" s="4">
        <f t="shared" si="33"/>
        <v>2765.6921296296291</v>
      </c>
      <c r="H174" s="3">
        <v>156358</v>
      </c>
      <c r="I174" s="3">
        <v>73540</v>
      </c>
      <c r="J174" s="4">
        <f t="shared" si="28"/>
        <v>229898</v>
      </c>
      <c r="K174" s="4">
        <f t="shared" si="34"/>
        <v>1809.6990740740739</v>
      </c>
      <c r="L174" s="4">
        <f t="shared" si="35"/>
        <v>851.15740740740739</v>
      </c>
      <c r="M174" s="4">
        <f t="shared" si="29"/>
        <v>2660.8564814814813</v>
      </c>
      <c r="N174" s="5">
        <f t="shared" si="30"/>
        <v>3.7905754955518921E-2</v>
      </c>
      <c r="O174" s="7">
        <v>54.234715807957784</v>
      </c>
      <c r="P174" s="7">
        <v>45.202811842376349</v>
      </c>
      <c r="Q174" s="3">
        <v>26250</v>
      </c>
      <c r="R174" s="3">
        <v>9400.0000000005457</v>
      </c>
      <c r="S174" s="3">
        <v>110.39999999999281</v>
      </c>
      <c r="T174" s="3">
        <f t="shared" si="36"/>
        <v>35760.40000000054</v>
      </c>
      <c r="U174" s="6">
        <f t="shared" si="37"/>
        <v>0.10985295188482556</v>
      </c>
      <c r="V174" s="6">
        <f t="shared" si="38"/>
        <v>3.9337818960663629E-2</v>
      </c>
      <c r="W174" s="6">
        <f t="shared" si="39"/>
        <v>4.6201012906986488E-4</v>
      </c>
      <c r="X174" s="6">
        <f t="shared" si="40"/>
        <v>0.14965278097455906</v>
      </c>
      <c r="Y174" s="6">
        <f t="shared" si="41"/>
        <v>0.16866760684285007</v>
      </c>
    </row>
    <row r="175" spans="1:25" x14ac:dyDescent="0.35">
      <c r="A175" s="2">
        <v>45220</v>
      </c>
      <c r="B175" s="3">
        <v>211123</v>
      </c>
      <c r="C175" s="3">
        <v>25480.799999999996</v>
      </c>
      <c r="D175" s="3">
        <f t="shared" si="31"/>
        <v>236603.8</v>
      </c>
      <c r="E175" s="4">
        <f t="shared" si="32"/>
        <v>2443.5532407407404</v>
      </c>
      <c r="F175" s="4">
        <f t="shared" si="32"/>
        <v>294.91666666666657</v>
      </c>
      <c r="G175" s="4">
        <f t="shared" si="33"/>
        <v>2738.4699074074069</v>
      </c>
      <c r="H175" s="3">
        <v>155182</v>
      </c>
      <c r="I175" s="3">
        <v>69067</v>
      </c>
      <c r="J175" s="4">
        <f t="shared" si="28"/>
        <v>224249</v>
      </c>
      <c r="K175" s="4">
        <f t="shared" si="34"/>
        <v>1796.0879629629628</v>
      </c>
      <c r="L175" s="4">
        <f t="shared" si="35"/>
        <v>799.38657407407402</v>
      </c>
      <c r="M175" s="4">
        <f t="shared" si="29"/>
        <v>2595.474537037037</v>
      </c>
      <c r="N175" s="5">
        <f t="shared" si="30"/>
        <v>5.2217250948632221E-2</v>
      </c>
      <c r="O175" s="7">
        <v>51.003846530204491</v>
      </c>
      <c r="P175" s="7">
        <v>35.818281214839764</v>
      </c>
      <c r="Q175" s="3">
        <v>24990.00000000251</v>
      </c>
      <c r="R175" s="3">
        <v>9059.9999999994907</v>
      </c>
      <c r="S175" s="3">
        <v>125.60000000000855</v>
      </c>
      <c r="T175" s="3">
        <f t="shared" si="36"/>
        <v>34175.600000002007</v>
      </c>
      <c r="U175" s="6">
        <f t="shared" si="37"/>
        <v>0.10561960543322851</v>
      </c>
      <c r="V175" s="6">
        <f t="shared" si="38"/>
        <v>3.8291861753697497E-2</v>
      </c>
      <c r="W175" s="6">
        <f t="shared" si="39"/>
        <v>5.3084523579083917E-4</v>
      </c>
      <c r="X175" s="6">
        <f t="shared" si="40"/>
        <v>0.14444231242271682</v>
      </c>
      <c r="Y175" s="6">
        <f t="shared" si="41"/>
        <v>0.16187530491704838</v>
      </c>
    </row>
    <row r="176" spans="1:25" x14ac:dyDescent="0.35">
      <c r="A176" s="2">
        <v>45221</v>
      </c>
      <c r="B176" s="3">
        <v>211661</v>
      </c>
      <c r="C176" s="3">
        <v>24732</v>
      </c>
      <c r="D176" s="3">
        <f t="shared" si="31"/>
        <v>236393</v>
      </c>
      <c r="E176" s="4">
        <f t="shared" si="32"/>
        <v>2449.7800925925926</v>
      </c>
      <c r="F176" s="4">
        <f t="shared" si="32"/>
        <v>286.25</v>
      </c>
      <c r="G176" s="4">
        <f t="shared" si="33"/>
        <v>2736.0300925925926</v>
      </c>
      <c r="H176" s="3">
        <v>154341</v>
      </c>
      <c r="I176" s="3">
        <v>69234</v>
      </c>
      <c r="J176" s="4">
        <f t="shared" si="28"/>
        <v>223575</v>
      </c>
      <c r="K176" s="4">
        <f t="shared" si="34"/>
        <v>1786.3541666666665</v>
      </c>
      <c r="L176" s="4">
        <f t="shared" si="35"/>
        <v>801.31944444444434</v>
      </c>
      <c r="M176" s="4">
        <f t="shared" si="29"/>
        <v>2587.6736111111109</v>
      </c>
      <c r="N176" s="5">
        <f t="shared" si="30"/>
        <v>5.4223263802227646E-2</v>
      </c>
      <c r="O176" s="7">
        <v>47.835823457599837</v>
      </c>
      <c r="P176" s="7">
        <v>24.522796902225309</v>
      </c>
      <c r="Q176" s="3">
        <v>24869.999999997162</v>
      </c>
      <c r="R176" s="3">
        <v>9179.9999999993815</v>
      </c>
      <c r="S176" s="3">
        <v>111.59999999999854</v>
      </c>
      <c r="T176" s="3">
        <f t="shared" si="36"/>
        <v>34161.599999996542</v>
      </c>
      <c r="U176" s="6">
        <f t="shared" si="37"/>
        <v>0.10520616092691899</v>
      </c>
      <c r="V176" s="6">
        <f t="shared" si="38"/>
        <v>3.883363720583681E-2</v>
      </c>
      <c r="W176" s="6">
        <f t="shared" si="39"/>
        <v>4.7209519740431632E-4</v>
      </c>
      <c r="X176" s="6">
        <f t="shared" si="40"/>
        <v>0.14451189333016012</v>
      </c>
      <c r="Y176" s="6">
        <f t="shared" si="41"/>
        <v>0.16139770671024206</v>
      </c>
    </row>
    <row r="177" spans="1:25" x14ac:dyDescent="0.35">
      <c r="A177" s="2">
        <v>45222</v>
      </c>
      <c r="B177" s="3">
        <v>211601</v>
      </c>
      <c r="C177" s="3">
        <v>30150</v>
      </c>
      <c r="D177" s="3">
        <f t="shared" si="31"/>
        <v>241751</v>
      </c>
      <c r="E177" s="4">
        <f t="shared" si="32"/>
        <v>2449.0856481481478</v>
      </c>
      <c r="F177" s="4">
        <f t="shared" si="32"/>
        <v>348.95833333333331</v>
      </c>
      <c r="G177" s="4">
        <f t="shared" si="33"/>
        <v>2798.0439814814813</v>
      </c>
      <c r="H177" s="3">
        <v>158972</v>
      </c>
      <c r="I177" s="3">
        <v>73983</v>
      </c>
      <c r="J177" s="4">
        <f t="shared" si="28"/>
        <v>232955</v>
      </c>
      <c r="K177" s="4">
        <f t="shared" si="34"/>
        <v>1839.9537037037037</v>
      </c>
      <c r="L177" s="4">
        <f t="shared" si="35"/>
        <v>856.28472222222217</v>
      </c>
      <c r="M177" s="4">
        <f t="shared" si="29"/>
        <v>2696.2384259259261</v>
      </c>
      <c r="N177" s="5">
        <f t="shared" si="30"/>
        <v>3.6384544427944455E-2</v>
      </c>
      <c r="O177" s="7">
        <v>52.157571005657047</v>
      </c>
      <c r="P177" s="7">
        <v>24.072959896037318</v>
      </c>
      <c r="Q177" s="3">
        <v>27090.0000000006</v>
      </c>
      <c r="R177" s="3">
        <v>9760.0000000011278</v>
      </c>
      <c r="S177" s="3">
        <v>128.40000000000146</v>
      </c>
      <c r="T177" s="3">
        <f t="shared" si="36"/>
        <v>36978.400000001733</v>
      </c>
      <c r="U177" s="6">
        <f t="shared" si="37"/>
        <v>0.11205744753899922</v>
      </c>
      <c r="V177" s="6">
        <f t="shared" si="38"/>
        <v>4.0372118419370044E-2</v>
      </c>
      <c r="W177" s="6">
        <f t="shared" si="39"/>
        <v>5.3112500051706699E-4</v>
      </c>
      <c r="X177" s="6">
        <f t="shared" si="40"/>
        <v>0.15296069095888634</v>
      </c>
      <c r="Y177" s="6">
        <f t="shared" si="41"/>
        <v>0.17475531779151202</v>
      </c>
    </row>
    <row r="178" spans="1:25" x14ac:dyDescent="0.35">
      <c r="A178" s="2">
        <v>45223</v>
      </c>
      <c r="B178" s="3">
        <v>209281</v>
      </c>
      <c r="C178" s="3">
        <v>30801.600000000002</v>
      </c>
      <c r="D178" s="3">
        <f t="shared" si="31"/>
        <v>240082.6</v>
      </c>
      <c r="E178" s="4">
        <f t="shared" si="32"/>
        <v>2422.2337962962961</v>
      </c>
      <c r="F178" s="4">
        <f t="shared" si="32"/>
        <v>356.5</v>
      </c>
      <c r="G178" s="4">
        <f t="shared" si="33"/>
        <v>2778.7337962962961</v>
      </c>
      <c r="H178" s="3">
        <v>155906</v>
      </c>
      <c r="I178" s="3">
        <v>73154</v>
      </c>
      <c r="J178" s="4">
        <f t="shared" si="28"/>
        <v>229060</v>
      </c>
      <c r="K178" s="4">
        <f t="shared" si="34"/>
        <v>1804.4675925925924</v>
      </c>
      <c r="L178" s="4">
        <f t="shared" si="35"/>
        <v>846.68981481481478</v>
      </c>
      <c r="M178" s="4">
        <f t="shared" si="29"/>
        <v>2651.1574074074069</v>
      </c>
      <c r="N178" s="5">
        <f t="shared" si="30"/>
        <v>4.591169872368929E-2</v>
      </c>
      <c r="O178" s="7">
        <v>50.544195267013926</v>
      </c>
      <c r="P178" s="7">
        <v>31.149192224910031</v>
      </c>
      <c r="Q178" s="3">
        <v>26820.000000000164</v>
      </c>
      <c r="R178" s="3">
        <v>10359.999999998763</v>
      </c>
      <c r="S178" s="3">
        <v>117.19999999999118</v>
      </c>
      <c r="T178" s="3">
        <f t="shared" si="36"/>
        <v>37297.199999998913</v>
      </c>
      <c r="U178" s="6">
        <f t="shared" si="37"/>
        <v>0.11171155260731166</v>
      </c>
      <c r="V178" s="6">
        <f t="shared" si="38"/>
        <v>4.3151815250246216E-2</v>
      </c>
      <c r="W178" s="6">
        <f t="shared" si="39"/>
        <v>4.8816532310126253E-4</v>
      </c>
      <c r="X178" s="6">
        <f t="shared" si="40"/>
        <v>0.15535153318065911</v>
      </c>
      <c r="Y178" s="6">
        <f t="shared" si="41"/>
        <v>0.17821589155250075</v>
      </c>
    </row>
    <row r="179" spans="1:25" x14ac:dyDescent="0.35">
      <c r="A179" s="2">
        <v>45224</v>
      </c>
      <c r="B179" s="3">
        <v>212765</v>
      </c>
      <c r="C179" s="3">
        <v>31770</v>
      </c>
      <c r="D179" s="3">
        <f t="shared" si="31"/>
        <v>244535</v>
      </c>
      <c r="E179" s="4">
        <f t="shared" si="32"/>
        <v>2462.55787037037</v>
      </c>
      <c r="F179" s="4">
        <f t="shared" si="32"/>
        <v>367.70833333333331</v>
      </c>
      <c r="G179" s="4">
        <f t="shared" si="33"/>
        <v>2830.2662037037035</v>
      </c>
      <c r="H179" s="3">
        <v>157106</v>
      </c>
      <c r="I179" s="3">
        <v>73997</v>
      </c>
      <c r="J179" s="4">
        <f t="shared" si="28"/>
        <v>231103</v>
      </c>
      <c r="K179" s="4">
        <f t="shared" si="34"/>
        <v>1818.3564814814813</v>
      </c>
      <c r="L179" s="4">
        <f t="shared" si="35"/>
        <v>856.44675925925924</v>
      </c>
      <c r="M179" s="4">
        <f t="shared" si="29"/>
        <v>2674.8032407407404</v>
      </c>
      <c r="N179" s="5">
        <f t="shared" si="30"/>
        <v>5.4928742306827247E-2</v>
      </c>
      <c r="O179" s="7">
        <v>48.327502462274921</v>
      </c>
      <c r="P179" s="7">
        <v>24.586015193898096</v>
      </c>
      <c r="Q179" s="3">
        <v>26820.000000000164</v>
      </c>
      <c r="R179" s="3">
        <v>10000</v>
      </c>
      <c r="S179" s="3">
        <v>109.60000000000264</v>
      </c>
      <c r="T179" s="3">
        <f t="shared" si="36"/>
        <v>36929.600000000166</v>
      </c>
      <c r="U179" s="6">
        <f t="shared" si="37"/>
        <v>0.1096775512707799</v>
      </c>
      <c r="V179" s="6">
        <f t="shared" si="38"/>
        <v>4.0893941562557504E-2</v>
      </c>
      <c r="W179" s="6">
        <f t="shared" si="39"/>
        <v>4.4819759952564105E-4</v>
      </c>
      <c r="X179" s="6">
        <f t="shared" si="40"/>
        <v>0.15101969043286306</v>
      </c>
      <c r="Y179" s="6">
        <f t="shared" si="41"/>
        <v>0.17356990106455558</v>
      </c>
    </row>
    <row r="180" spans="1:25" x14ac:dyDescent="0.35">
      <c r="A180" s="2">
        <v>45225</v>
      </c>
      <c r="B180" s="3">
        <v>213221</v>
      </c>
      <c r="C180" s="3">
        <v>31878</v>
      </c>
      <c r="D180" s="3">
        <f t="shared" si="31"/>
        <v>245099</v>
      </c>
      <c r="E180" s="4">
        <f t="shared" si="32"/>
        <v>2467.8356481481478</v>
      </c>
      <c r="F180" s="4">
        <f t="shared" si="32"/>
        <v>368.95833333333331</v>
      </c>
      <c r="G180" s="4">
        <f t="shared" si="33"/>
        <v>2836.7939814814813</v>
      </c>
      <c r="H180" s="3">
        <v>157422</v>
      </c>
      <c r="I180" s="3">
        <v>74106</v>
      </c>
      <c r="J180" s="4">
        <f t="shared" si="28"/>
        <v>231528</v>
      </c>
      <c r="K180" s="4">
        <f t="shared" si="34"/>
        <v>1822.0138888888887</v>
      </c>
      <c r="L180" s="4">
        <f t="shared" si="35"/>
        <v>857.70833333333326</v>
      </c>
      <c r="M180" s="4">
        <f t="shared" si="29"/>
        <v>2679.7222222222217</v>
      </c>
      <c r="N180" s="5">
        <f t="shared" si="30"/>
        <v>5.536946295170523E-2</v>
      </c>
      <c r="O180" s="7">
        <v>48.743584125441551</v>
      </c>
      <c r="P180" s="7">
        <v>25.822894510007234</v>
      </c>
      <c r="Q180" s="3">
        <v>26700.000000000273</v>
      </c>
      <c r="R180" s="3">
        <v>10480.000000000928</v>
      </c>
      <c r="S180" s="3">
        <v>96.799999999998363</v>
      </c>
      <c r="T180" s="3">
        <f t="shared" si="36"/>
        <v>37276.800000001196</v>
      </c>
      <c r="U180" s="6">
        <f t="shared" si="37"/>
        <v>0.10893557297255506</v>
      </c>
      <c r="V180" s="6">
        <f t="shared" si="38"/>
        <v>4.2758232387732825E-2</v>
      </c>
      <c r="W180" s="6">
        <f t="shared" si="39"/>
        <v>3.9494245182558217E-4</v>
      </c>
      <c r="X180" s="6">
        <f t="shared" si="40"/>
        <v>0.15208874781211346</v>
      </c>
      <c r="Y180" s="6">
        <f t="shared" si="41"/>
        <v>0.17482705737240326</v>
      </c>
    </row>
    <row r="181" spans="1:25" x14ac:dyDescent="0.35">
      <c r="A181" s="2">
        <v>45226</v>
      </c>
      <c r="B181" s="3">
        <v>214736</v>
      </c>
      <c r="C181" s="3">
        <v>28398.600000000002</v>
      </c>
      <c r="D181" s="3">
        <f t="shared" si="31"/>
        <v>243134.6</v>
      </c>
      <c r="E181" s="4">
        <f t="shared" si="32"/>
        <v>2485.37037037037</v>
      </c>
      <c r="F181" s="4">
        <f t="shared" si="32"/>
        <v>328.6875</v>
      </c>
      <c r="G181" s="4">
        <f t="shared" si="33"/>
        <v>2814.05787037037</v>
      </c>
      <c r="H181" s="3">
        <v>157656</v>
      </c>
      <c r="I181" s="3">
        <v>74452</v>
      </c>
      <c r="J181" s="4">
        <f t="shared" si="28"/>
        <v>232108</v>
      </c>
      <c r="K181" s="4">
        <f t="shared" si="34"/>
        <v>1824.7222222222222</v>
      </c>
      <c r="L181" s="4">
        <f t="shared" si="35"/>
        <v>861.71296296296293</v>
      </c>
      <c r="M181" s="4">
        <f t="shared" si="29"/>
        <v>2686.4351851851852</v>
      </c>
      <c r="N181" s="5">
        <f t="shared" si="30"/>
        <v>4.5351833922444629E-2</v>
      </c>
      <c r="O181" s="7">
        <v>52.96220599654265</v>
      </c>
      <c r="P181" s="7">
        <v>22.701915653090527</v>
      </c>
      <c r="Q181" s="3">
        <v>26609.999999999673</v>
      </c>
      <c r="R181" s="3">
        <v>9480.0000000004729</v>
      </c>
      <c r="S181" s="3">
        <v>118.00000000000637</v>
      </c>
      <c r="T181" s="3">
        <f t="shared" si="36"/>
        <v>36208.000000000153</v>
      </c>
      <c r="U181" s="6">
        <f t="shared" si="37"/>
        <v>0.10944554991350335</v>
      </c>
      <c r="V181" s="6">
        <f t="shared" si="38"/>
        <v>3.8990748334463594E-2</v>
      </c>
      <c r="W181" s="6">
        <f t="shared" si="39"/>
        <v>4.8532788011252352E-4</v>
      </c>
      <c r="X181" s="6">
        <f t="shared" si="40"/>
        <v>0.14892162612807947</v>
      </c>
      <c r="Y181" s="6">
        <f t="shared" si="41"/>
        <v>0.168616347515089</v>
      </c>
    </row>
    <row r="182" spans="1:25" x14ac:dyDescent="0.35">
      <c r="A182" s="2">
        <v>45227</v>
      </c>
      <c r="B182" s="3">
        <v>215163</v>
      </c>
      <c r="C182" s="3">
        <v>22273.200000000001</v>
      </c>
      <c r="D182" s="3">
        <f t="shared" si="31"/>
        <v>237436.2</v>
      </c>
      <c r="E182" s="4">
        <f t="shared" si="32"/>
        <v>2490.3125</v>
      </c>
      <c r="F182" s="4">
        <f t="shared" si="32"/>
        <v>257.79166666666669</v>
      </c>
      <c r="G182" s="4">
        <f t="shared" si="33"/>
        <v>2748.1041666666665</v>
      </c>
      <c r="H182" s="3">
        <v>154989</v>
      </c>
      <c r="I182" s="3">
        <v>69843</v>
      </c>
      <c r="J182" s="4">
        <f t="shared" si="28"/>
        <v>224832</v>
      </c>
      <c r="K182" s="4">
        <f t="shared" si="34"/>
        <v>1793.8541666666665</v>
      </c>
      <c r="L182" s="4">
        <f t="shared" si="35"/>
        <v>808.36805555555554</v>
      </c>
      <c r="M182" s="4">
        <f t="shared" si="29"/>
        <v>2602.2222222222222</v>
      </c>
      <c r="N182" s="5">
        <f t="shared" si="30"/>
        <v>5.3084575982937782E-2</v>
      </c>
      <c r="O182" s="7">
        <v>55.609871586495217</v>
      </c>
      <c r="P182" s="7">
        <v>20.075659233450803</v>
      </c>
      <c r="Q182" s="3">
        <v>24630.000000000109</v>
      </c>
      <c r="R182" s="3">
        <v>7859.9999999992178</v>
      </c>
      <c r="S182" s="3">
        <v>113.99999999999409</v>
      </c>
      <c r="T182" s="3">
        <f t="shared" si="36"/>
        <v>32603.99999999932</v>
      </c>
      <c r="U182" s="6">
        <f t="shared" si="37"/>
        <v>0.10373312915216849</v>
      </c>
      <c r="V182" s="6">
        <f t="shared" si="38"/>
        <v>3.3103629522369449E-2</v>
      </c>
      <c r="W182" s="6">
        <f t="shared" si="39"/>
        <v>4.8012897780538134E-4</v>
      </c>
      <c r="X182" s="6">
        <f t="shared" si="40"/>
        <v>0.13731688765234332</v>
      </c>
      <c r="Y182" s="6">
        <f t="shared" si="41"/>
        <v>0.15153162950878785</v>
      </c>
    </row>
    <row r="183" spans="1:25" x14ac:dyDescent="0.35">
      <c r="A183" s="2">
        <v>45228</v>
      </c>
      <c r="B183" s="3">
        <v>215733</v>
      </c>
      <c r="C183" s="3">
        <v>19033.199999999997</v>
      </c>
      <c r="D183" s="3">
        <f t="shared" si="31"/>
        <v>234766.2</v>
      </c>
      <c r="E183" s="4">
        <f t="shared" si="32"/>
        <v>2496.9097222222222</v>
      </c>
      <c r="F183" s="4">
        <f t="shared" si="32"/>
        <v>220.29166666666663</v>
      </c>
      <c r="G183" s="4">
        <f t="shared" si="33"/>
        <v>2717.2013888888887</v>
      </c>
      <c r="H183" s="3">
        <v>154923</v>
      </c>
      <c r="I183" s="3">
        <v>68665</v>
      </c>
      <c r="J183" s="4">
        <f t="shared" si="28"/>
        <v>223588</v>
      </c>
      <c r="K183" s="4">
        <f t="shared" si="34"/>
        <v>1793.0902777777776</v>
      </c>
      <c r="L183" s="4">
        <f t="shared" si="35"/>
        <v>794.73379629629619</v>
      </c>
      <c r="M183" s="4">
        <f t="shared" si="29"/>
        <v>2587.8240740740739</v>
      </c>
      <c r="N183" s="5">
        <f t="shared" si="30"/>
        <v>4.7614179553956283E-2</v>
      </c>
      <c r="O183" s="7">
        <v>49.298118313723172</v>
      </c>
      <c r="P183" s="7">
        <v>23.245886896496103</v>
      </c>
      <c r="Q183" s="3">
        <v>24599.999999999454</v>
      </c>
      <c r="R183" s="3">
        <v>7880.0000000005639</v>
      </c>
      <c r="S183" s="3">
        <v>112.00000000000273</v>
      </c>
      <c r="T183" s="3">
        <f t="shared" si="36"/>
        <v>32592.000000000022</v>
      </c>
      <c r="U183" s="6">
        <f t="shared" si="37"/>
        <v>0.10478510109206288</v>
      </c>
      <c r="V183" s="6">
        <f t="shared" si="38"/>
        <v>3.3565308805102965E-2</v>
      </c>
      <c r="W183" s="6">
        <f t="shared" si="39"/>
        <v>4.7707037895575568E-4</v>
      </c>
      <c r="X183" s="6">
        <f t="shared" si="40"/>
        <v>0.1388274802761216</v>
      </c>
      <c r="Y183" s="6">
        <f t="shared" si="41"/>
        <v>0.15107563516012859</v>
      </c>
    </row>
    <row r="184" spans="1:25" x14ac:dyDescent="0.35">
      <c r="A184" s="2">
        <v>45229</v>
      </c>
      <c r="B184" s="3">
        <v>213854</v>
      </c>
      <c r="C184" s="3">
        <v>27007.199999999997</v>
      </c>
      <c r="D184" s="3">
        <f t="shared" si="31"/>
        <v>240861.2</v>
      </c>
      <c r="E184" s="4">
        <f t="shared" si="32"/>
        <v>2475.162037037037</v>
      </c>
      <c r="F184" s="4">
        <f t="shared" si="32"/>
        <v>312.58333333333326</v>
      </c>
      <c r="G184" s="4">
        <f t="shared" si="33"/>
        <v>2787.7453703703704</v>
      </c>
      <c r="H184" s="3">
        <v>157972</v>
      </c>
      <c r="I184" s="3">
        <v>75310</v>
      </c>
      <c r="J184" s="4">
        <f t="shared" si="28"/>
        <v>233282</v>
      </c>
      <c r="K184" s="4">
        <f t="shared" si="34"/>
        <v>1828.3796296296296</v>
      </c>
      <c r="L184" s="4">
        <f t="shared" si="35"/>
        <v>871.64351851851848</v>
      </c>
      <c r="M184" s="4">
        <f t="shared" si="29"/>
        <v>2700.0231481481478</v>
      </c>
      <c r="N184" s="5">
        <f t="shared" si="30"/>
        <v>3.1467085607810689E-2</v>
      </c>
      <c r="O184" s="7">
        <v>50.29317656450187</v>
      </c>
      <c r="P184" s="7">
        <v>21.999543032609601</v>
      </c>
      <c r="Q184" s="3">
        <v>26880.000000002838</v>
      </c>
      <c r="R184" s="3">
        <v>9399.9999999991815</v>
      </c>
      <c r="S184" s="3">
        <v>105.59999999999718</v>
      </c>
      <c r="T184" s="3">
        <f t="shared" si="36"/>
        <v>36385.600000002021</v>
      </c>
      <c r="U184" s="6">
        <f t="shared" si="37"/>
        <v>0.11159954363759225</v>
      </c>
      <c r="V184" s="6">
        <f t="shared" si="38"/>
        <v>3.9026626123257628E-2</v>
      </c>
      <c r="W184" s="6">
        <f t="shared" si="39"/>
        <v>4.3842677857619734E-4</v>
      </c>
      <c r="X184" s="6">
        <f t="shared" si="40"/>
        <v>0.15106459653942611</v>
      </c>
      <c r="Y184" s="6">
        <f t="shared" si="41"/>
        <v>0.17014224657945151</v>
      </c>
    </row>
    <row r="185" spans="1:25" x14ac:dyDescent="0.35">
      <c r="A185" s="2">
        <v>45230</v>
      </c>
      <c r="B185" s="3">
        <v>213446</v>
      </c>
      <c r="C185" s="3">
        <v>29660.400000000001</v>
      </c>
      <c r="D185" s="3">
        <f t="shared" si="31"/>
        <v>243106.4</v>
      </c>
      <c r="E185" s="4">
        <f t="shared" si="32"/>
        <v>2470.4398148148148</v>
      </c>
      <c r="F185" s="4">
        <f t="shared" si="32"/>
        <v>343.29166666666669</v>
      </c>
      <c r="G185" s="4">
        <f t="shared" si="33"/>
        <v>2813.7314814814813</v>
      </c>
      <c r="H185" s="3">
        <v>157990</v>
      </c>
      <c r="I185" s="3">
        <v>74991</v>
      </c>
      <c r="J185" s="4">
        <f t="shared" si="28"/>
        <v>232981</v>
      </c>
      <c r="K185" s="4">
        <f t="shared" si="34"/>
        <v>1828.5879629629628</v>
      </c>
      <c r="L185" s="4">
        <f t="shared" si="35"/>
        <v>867.9513888888888</v>
      </c>
      <c r="M185" s="4">
        <f t="shared" si="29"/>
        <v>2696.5393518518517</v>
      </c>
      <c r="N185" s="5">
        <f t="shared" si="30"/>
        <v>4.1650075851561268E-2</v>
      </c>
      <c r="O185" s="7">
        <v>49.620909165638572</v>
      </c>
      <c r="P185" s="7">
        <v>27.827626776186491</v>
      </c>
      <c r="Q185" s="3">
        <v>27089.999999999236</v>
      </c>
      <c r="R185" s="3">
        <v>9559.9999999994907</v>
      </c>
      <c r="S185" s="3">
        <v>78.800000000005639</v>
      </c>
      <c r="T185" s="3">
        <f t="shared" si="36"/>
        <v>36728.79999999873</v>
      </c>
      <c r="U185" s="6">
        <f t="shared" si="37"/>
        <v>0.11143268955485844</v>
      </c>
      <c r="V185" s="6">
        <f t="shared" si="38"/>
        <v>3.9324345224969359E-2</v>
      </c>
      <c r="W185" s="6">
        <f t="shared" si="39"/>
        <v>3.2413790833974603E-4</v>
      </c>
      <c r="X185" s="6">
        <f t="shared" si="40"/>
        <v>0.15108117268816754</v>
      </c>
      <c r="Y185" s="6">
        <f t="shared" si="41"/>
        <v>0.17207537269379014</v>
      </c>
    </row>
    <row r="186" spans="1:25" x14ac:dyDescent="0.35">
      <c r="A186" s="2">
        <v>45231</v>
      </c>
      <c r="B186" s="3">
        <v>212950</v>
      </c>
      <c r="C186" s="3">
        <v>28357.199999999997</v>
      </c>
      <c r="D186" s="3">
        <f t="shared" si="31"/>
        <v>241307.2</v>
      </c>
      <c r="E186" s="4">
        <f t="shared" si="32"/>
        <v>2464.6990740740739</v>
      </c>
      <c r="F186" s="4">
        <f t="shared" si="32"/>
        <v>328.20833333333326</v>
      </c>
      <c r="G186" s="4">
        <f t="shared" si="33"/>
        <v>2792.9074074074069</v>
      </c>
      <c r="H186" s="3">
        <v>157710</v>
      </c>
      <c r="I186" s="3">
        <v>75162</v>
      </c>
      <c r="J186" s="4">
        <f t="shared" si="28"/>
        <v>232872</v>
      </c>
      <c r="K186" s="4">
        <f t="shared" si="34"/>
        <v>1825.3472222222222</v>
      </c>
      <c r="L186" s="4">
        <f t="shared" si="35"/>
        <v>869.93055555555554</v>
      </c>
      <c r="M186" s="4">
        <f t="shared" si="29"/>
        <v>2695.2777777777778</v>
      </c>
      <c r="N186" s="5">
        <f t="shared" si="30"/>
        <v>3.4956271507853937E-2</v>
      </c>
      <c r="O186" s="7">
        <v>51.340011093050677</v>
      </c>
      <c r="P186" s="7">
        <v>25.196409492122005</v>
      </c>
      <c r="Q186" s="3">
        <v>26819.999999998799</v>
      </c>
      <c r="R186" s="3">
        <v>10139.999999999873</v>
      </c>
      <c r="S186" s="3">
        <v>102.40000000000236</v>
      </c>
      <c r="T186" s="3">
        <f t="shared" si="36"/>
        <v>37062.399999998677</v>
      </c>
      <c r="U186" s="6">
        <f t="shared" si="37"/>
        <v>0.11114463223641399</v>
      </c>
      <c r="V186" s="6">
        <f t="shared" si="38"/>
        <v>4.2021124939495683E-2</v>
      </c>
      <c r="W186" s="6">
        <f t="shared" si="39"/>
        <v>4.243553445566579E-4</v>
      </c>
      <c r="X186" s="6">
        <f t="shared" si="40"/>
        <v>0.15359011252046634</v>
      </c>
      <c r="Y186" s="6">
        <f t="shared" si="41"/>
        <v>0.17404273303591772</v>
      </c>
    </row>
    <row r="187" spans="1:25" x14ac:dyDescent="0.35">
      <c r="A187" s="2">
        <v>45232</v>
      </c>
      <c r="B187" s="3">
        <v>213127</v>
      </c>
      <c r="C187" s="3">
        <v>28850.400000000001</v>
      </c>
      <c r="D187" s="3">
        <f t="shared" si="31"/>
        <v>241977.4</v>
      </c>
      <c r="E187" s="4">
        <f t="shared" si="32"/>
        <v>2466.7476851851852</v>
      </c>
      <c r="F187" s="4">
        <f t="shared" si="32"/>
        <v>333.91666666666669</v>
      </c>
      <c r="G187" s="4">
        <f t="shared" si="33"/>
        <v>2800.6643518518517</v>
      </c>
      <c r="H187" s="3">
        <v>156267</v>
      </c>
      <c r="I187" s="3">
        <v>73498</v>
      </c>
      <c r="J187" s="4">
        <f t="shared" si="28"/>
        <v>229765</v>
      </c>
      <c r="K187" s="4">
        <f t="shared" si="34"/>
        <v>1808.6458333333333</v>
      </c>
      <c r="L187" s="4">
        <f t="shared" si="35"/>
        <v>850.67129629629619</v>
      </c>
      <c r="M187" s="4">
        <f t="shared" si="29"/>
        <v>2659.3171296296296</v>
      </c>
      <c r="N187" s="5">
        <f t="shared" si="30"/>
        <v>5.0469176047019247E-2</v>
      </c>
      <c r="O187" s="7">
        <v>48.958131868551355</v>
      </c>
      <c r="P187" s="7">
        <v>21.87466756960028</v>
      </c>
      <c r="Q187" s="3">
        <v>26220.000000000709</v>
      </c>
      <c r="R187" s="3">
        <v>9100.0000000008185</v>
      </c>
      <c r="S187" s="3">
        <v>122.39999999999327</v>
      </c>
      <c r="T187" s="3">
        <f t="shared" si="36"/>
        <v>35442.400000001522</v>
      </c>
      <c r="U187" s="6">
        <f t="shared" si="37"/>
        <v>0.10835722674927786</v>
      </c>
      <c r="V187" s="6">
        <f t="shared" si="38"/>
        <v>3.7606817826792163E-2</v>
      </c>
      <c r="W187" s="6">
        <f t="shared" si="39"/>
        <v>5.0583236285699934E-4</v>
      </c>
      <c r="X187" s="6">
        <f t="shared" si="40"/>
        <v>0.14646987693892705</v>
      </c>
      <c r="Y187" s="6">
        <f t="shared" si="41"/>
        <v>0.16629709046719338</v>
      </c>
    </row>
    <row r="188" spans="1:25" x14ac:dyDescent="0.35">
      <c r="A188" s="2">
        <v>45233</v>
      </c>
      <c r="B188" s="3">
        <v>212960</v>
      </c>
      <c r="C188" s="3">
        <v>28776.600000000002</v>
      </c>
      <c r="D188" s="3">
        <f t="shared" si="31"/>
        <v>241736.6</v>
      </c>
      <c r="E188" s="4">
        <f t="shared" si="32"/>
        <v>2464.8148148148148</v>
      </c>
      <c r="F188" s="4">
        <f t="shared" si="32"/>
        <v>333.0625</v>
      </c>
      <c r="G188" s="4">
        <f t="shared" si="33"/>
        <v>2797.8773148148148</v>
      </c>
      <c r="H188" s="3">
        <v>156714</v>
      </c>
      <c r="I188" s="3">
        <v>74709</v>
      </c>
      <c r="J188" s="4">
        <f t="shared" si="28"/>
        <v>231423</v>
      </c>
      <c r="K188" s="4">
        <f t="shared" si="34"/>
        <v>1813.8194444444443</v>
      </c>
      <c r="L188" s="4">
        <f t="shared" si="35"/>
        <v>864.68749999999989</v>
      </c>
      <c r="M188" s="4">
        <f t="shared" si="29"/>
        <v>2678.5069444444443</v>
      </c>
      <c r="N188" s="5">
        <f t="shared" si="30"/>
        <v>4.2664619259144068E-2</v>
      </c>
      <c r="O188" s="7">
        <v>49.845519618386462</v>
      </c>
      <c r="P188" s="7">
        <v>22.013550840067904</v>
      </c>
      <c r="Q188" s="3">
        <v>26549.999999998363</v>
      </c>
      <c r="R188" s="3">
        <v>8540.0000000004184</v>
      </c>
      <c r="S188" s="3">
        <v>115.99999999999909</v>
      </c>
      <c r="T188" s="3">
        <f t="shared" si="36"/>
        <v>35205.999999998778</v>
      </c>
      <c r="U188" s="6">
        <f t="shared" si="37"/>
        <v>0.10983028635299066</v>
      </c>
      <c r="V188" s="6">
        <f t="shared" si="38"/>
        <v>3.532770792672859E-2</v>
      </c>
      <c r="W188" s="6">
        <f t="shared" si="39"/>
        <v>4.7986113811478729E-4</v>
      </c>
      <c r="X188" s="6">
        <f t="shared" si="40"/>
        <v>0.14563785541783403</v>
      </c>
      <c r="Y188" s="6">
        <f t="shared" si="41"/>
        <v>0.16531743050337519</v>
      </c>
    </row>
    <row r="189" spans="1:25" x14ac:dyDescent="0.35">
      <c r="A189" s="2">
        <v>45234</v>
      </c>
      <c r="B189" s="3">
        <v>213102</v>
      </c>
      <c r="C189" s="3">
        <v>20610</v>
      </c>
      <c r="D189" s="3">
        <f t="shared" si="31"/>
        <v>233712</v>
      </c>
      <c r="E189" s="4">
        <f t="shared" si="32"/>
        <v>2466.458333333333</v>
      </c>
      <c r="F189" s="4">
        <f t="shared" si="32"/>
        <v>238.54166666666666</v>
      </c>
      <c r="G189" s="4">
        <f t="shared" si="33"/>
        <v>2704.9999999999995</v>
      </c>
      <c r="H189" s="3">
        <v>155496</v>
      </c>
      <c r="I189" s="3">
        <v>68587</v>
      </c>
      <c r="J189" s="4">
        <f t="shared" si="28"/>
        <v>224083</v>
      </c>
      <c r="K189" s="4">
        <f t="shared" si="34"/>
        <v>1799.7222222222222</v>
      </c>
      <c r="L189" s="4">
        <f t="shared" si="35"/>
        <v>793.83101851851848</v>
      </c>
      <c r="M189" s="4">
        <f t="shared" si="29"/>
        <v>2593.5532407407409</v>
      </c>
      <c r="N189" s="5">
        <f t="shared" si="30"/>
        <v>4.1200280687341682E-2</v>
      </c>
      <c r="O189" s="7">
        <v>55.650700899467772</v>
      </c>
      <c r="P189" s="7">
        <v>21.945821508489963</v>
      </c>
      <c r="Q189" s="3">
        <v>24539.999999999509</v>
      </c>
      <c r="R189" s="3">
        <v>6940.0000000005093</v>
      </c>
      <c r="S189" s="3">
        <v>112.40000000000009</v>
      </c>
      <c r="T189" s="3">
        <f t="shared" si="36"/>
        <v>31592.40000000002</v>
      </c>
      <c r="U189" s="6">
        <f t="shared" si="37"/>
        <v>0.10500102690490651</v>
      </c>
      <c r="V189" s="6">
        <f t="shared" si="38"/>
        <v>2.9694666940510154E-2</v>
      </c>
      <c r="W189" s="6">
        <f t="shared" si="39"/>
        <v>4.8093379886355897E-4</v>
      </c>
      <c r="X189" s="6">
        <f t="shared" si="40"/>
        <v>0.13517662764428023</v>
      </c>
      <c r="Y189" s="6">
        <f t="shared" si="41"/>
        <v>0.14825013373877308</v>
      </c>
    </row>
    <row r="190" spans="1:25" x14ac:dyDescent="0.35">
      <c r="A190" s="2">
        <v>45235</v>
      </c>
      <c r="B190" s="3">
        <v>197468</v>
      </c>
      <c r="C190" s="3">
        <v>25005.600000000002</v>
      </c>
      <c r="D190" s="3">
        <f t="shared" si="31"/>
        <v>222473.60000000001</v>
      </c>
      <c r="E190" s="4">
        <f t="shared" si="32"/>
        <v>2285.5092592592591</v>
      </c>
      <c r="F190" s="4">
        <f t="shared" si="32"/>
        <v>289.41666666666669</v>
      </c>
      <c r="G190" s="4">
        <f t="shared" si="33"/>
        <v>2574.9259259259256</v>
      </c>
      <c r="H190" s="3">
        <v>154013</v>
      </c>
      <c r="I190" s="3">
        <v>68825</v>
      </c>
      <c r="J190" s="4">
        <f t="shared" si="28"/>
        <v>222838</v>
      </c>
      <c r="K190" s="4">
        <f t="shared" si="34"/>
        <v>1782.5578703703702</v>
      </c>
      <c r="L190" s="4">
        <f t="shared" si="35"/>
        <v>796.58564814814815</v>
      </c>
      <c r="M190" s="4">
        <f t="shared" si="29"/>
        <v>2579.1435185185182</v>
      </c>
      <c r="N190" s="5">
        <f t="shared" si="30"/>
        <v>-1.6379471541791662E-3</v>
      </c>
      <c r="O190" s="7">
        <v>56.12731371238003</v>
      </c>
      <c r="P190" s="7">
        <v>23.639696057318439</v>
      </c>
      <c r="Q190" s="3">
        <v>24630.000000000109</v>
      </c>
      <c r="R190" s="3">
        <v>7400.0000000000909</v>
      </c>
      <c r="S190" s="3">
        <v>110.40000000000418</v>
      </c>
      <c r="T190" s="3">
        <f t="shared" si="36"/>
        <v>32140.400000000205</v>
      </c>
      <c r="U190" s="6">
        <f t="shared" si="37"/>
        <v>0.11070976511370387</v>
      </c>
      <c r="V190" s="6">
        <f t="shared" si="38"/>
        <v>3.3262373602980719E-2</v>
      </c>
      <c r="W190" s="6">
        <f t="shared" si="39"/>
        <v>4.9623865483367099E-4</v>
      </c>
      <c r="X190" s="6">
        <f t="shared" si="40"/>
        <v>0.14446837737151827</v>
      </c>
      <c r="Y190" s="6">
        <f t="shared" si="41"/>
        <v>0.16276257418923676</v>
      </c>
    </row>
    <row r="191" spans="1:25" x14ac:dyDescent="0.35">
      <c r="A191" s="2">
        <v>45236</v>
      </c>
      <c r="B191" s="3">
        <v>214070</v>
      </c>
      <c r="C191" s="3">
        <v>29682</v>
      </c>
      <c r="D191" s="3">
        <f t="shared" si="31"/>
        <v>243752</v>
      </c>
      <c r="E191" s="4">
        <f t="shared" si="32"/>
        <v>2477.662037037037</v>
      </c>
      <c r="F191" s="4">
        <f t="shared" si="32"/>
        <v>343.54166666666663</v>
      </c>
      <c r="G191" s="4">
        <f t="shared" si="33"/>
        <v>2821.2037037037035</v>
      </c>
      <c r="H191" s="3">
        <v>156058</v>
      </c>
      <c r="I191" s="3">
        <v>72596</v>
      </c>
      <c r="J191" s="4">
        <f t="shared" si="28"/>
        <v>228654</v>
      </c>
      <c r="K191" s="4">
        <f t="shared" si="34"/>
        <v>1806.2268518518517</v>
      </c>
      <c r="L191" s="4">
        <f t="shared" si="35"/>
        <v>840.23148148148141</v>
      </c>
      <c r="M191" s="4">
        <f t="shared" si="29"/>
        <v>2646.458333333333</v>
      </c>
      <c r="N191" s="5">
        <f t="shared" si="30"/>
        <v>6.1940004594834092E-2</v>
      </c>
      <c r="O191" s="7">
        <v>56.803362051268863</v>
      </c>
      <c r="P191" s="7">
        <v>21.018661124677596</v>
      </c>
      <c r="Q191" s="3">
        <v>25770.000000001801</v>
      </c>
      <c r="R191" s="3">
        <v>8259.999999998854</v>
      </c>
      <c r="S191" s="3">
        <v>101.19999999999663</v>
      </c>
      <c r="T191" s="3">
        <f t="shared" si="36"/>
        <v>34131.200000000652</v>
      </c>
      <c r="U191" s="6">
        <f t="shared" si="37"/>
        <v>0.10572220945880158</v>
      </c>
      <c r="V191" s="6">
        <f t="shared" si="38"/>
        <v>3.3886901440803988E-2</v>
      </c>
      <c r="W191" s="6">
        <f t="shared" si="39"/>
        <v>4.1517608060650428E-4</v>
      </c>
      <c r="X191" s="6">
        <f t="shared" si="40"/>
        <v>0.14002428698021208</v>
      </c>
      <c r="Y191" s="6">
        <f t="shared" si="41"/>
        <v>0.1594394356986063</v>
      </c>
    </row>
    <row r="192" spans="1:25" x14ac:dyDescent="0.35">
      <c r="A192" s="2">
        <v>45237</v>
      </c>
      <c r="B192" s="3">
        <v>212364</v>
      </c>
      <c r="C192" s="3">
        <v>40823.999999999993</v>
      </c>
      <c r="D192" s="3">
        <f t="shared" si="31"/>
        <v>253188</v>
      </c>
      <c r="E192" s="4">
        <f t="shared" si="32"/>
        <v>2457.9166666666665</v>
      </c>
      <c r="F192" s="4">
        <f t="shared" si="32"/>
        <v>472.49999999999989</v>
      </c>
      <c r="G192" s="4">
        <f t="shared" si="33"/>
        <v>2930.4166666666665</v>
      </c>
      <c r="H192" s="3">
        <v>154957</v>
      </c>
      <c r="I192" s="3">
        <v>73164</v>
      </c>
      <c r="J192" s="4">
        <f t="shared" si="28"/>
        <v>228121</v>
      </c>
      <c r="K192" s="4">
        <f t="shared" si="34"/>
        <v>1793.4837962962961</v>
      </c>
      <c r="L192" s="4">
        <f t="shared" si="35"/>
        <v>846.80555555555554</v>
      </c>
      <c r="M192" s="4">
        <f t="shared" si="29"/>
        <v>2640.2893518518517</v>
      </c>
      <c r="N192" s="5">
        <f t="shared" si="30"/>
        <v>9.9005482092358252E-2</v>
      </c>
      <c r="O192" s="7">
        <v>56.876099505471529</v>
      </c>
      <c r="P192" s="7">
        <v>24.036432115768427</v>
      </c>
      <c r="Q192" s="3">
        <v>28140.000000000327</v>
      </c>
      <c r="R192" s="3">
        <v>9760.000000000673</v>
      </c>
      <c r="S192" s="3">
        <v>93.200000000001637</v>
      </c>
      <c r="T192" s="3">
        <f t="shared" si="36"/>
        <v>37993.200000001008</v>
      </c>
      <c r="U192" s="6">
        <f t="shared" si="37"/>
        <v>0.11114270818522334</v>
      </c>
      <c r="V192" s="6">
        <f t="shared" si="38"/>
        <v>3.8548430415346197E-2</v>
      </c>
      <c r="W192" s="6">
        <f t="shared" si="39"/>
        <v>3.6810591339242634E-4</v>
      </c>
      <c r="X192" s="6">
        <f t="shared" si="40"/>
        <v>0.15005924451396199</v>
      </c>
      <c r="Y192" s="6">
        <f t="shared" si="41"/>
        <v>0.17890602927050259</v>
      </c>
    </row>
    <row r="193" spans="1:25" x14ac:dyDescent="0.35">
      <c r="A193" s="2">
        <v>45238</v>
      </c>
      <c r="B193" s="3">
        <v>213048</v>
      </c>
      <c r="C193" s="3">
        <v>25534.799999999996</v>
      </c>
      <c r="D193" s="3">
        <f t="shared" si="31"/>
        <v>238582.8</v>
      </c>
      <c r="E193" s="4">
        <f t="shared" si="32"/>
        <v>2465.833333333333</v>
      </c>
      <c r="F193" s="4">
        <f t="shared" si="32"/>
        <v>295.54166666666657</v>
      </c>
      <c r="G193" s="4">
        <f t="shared" si="33"/>
        <v>2761.3749999999995</v>
      </c>
      <c r="H193" s="3">
        <v>156078</v>
      </c>
      <c r="I193" s="3">
        <v>72750</v>
      </c>
      <c r="J193" s="4">
        <f t="shared" si="28"/>
        <v>228828</v>
      </c>
      <c r="K193" s="4">
        <f t="shared" si="34"/>
        <v>1806.4583333333333</v>
      </c>
      <c r="L193" s="4">
        <f t="shared" si="35"/>
        <v>842.0138888888888</v>
      </c>
      <c r="M193" s="4">
        <f t="shared" si="29"/>
        <v>2648.4722222222222</v>
      </c>
      <c r="N193" s="5">
        <f t="shared" si="30"/>
        <v>4.088643439510304E-2</v>
      </c>
      <c r="O193" s="7">
        <v>53.003818377552037</v>
      </c>
      <c r="P193" s="7">
        <v>21.426600687907211</v>
      </c>
      <c r="Q193" s="3">
        <v>24479.999999998199</v>
      </c>
      <c r="R193" s="3">
        <v>7460.0000000000364</v>
      </c>
      <c r="S193" s="3">
        <v>114.39999999999827</v>
      </c>
      <c r="T193" s="3">
        <f t="shared" si="36"/>
        <v>32054.399999998233</v>
      </c>
      <c r="U193" s="6">
        <f t="shared" si="37"/>
        <v>0.10260588776725817</v>
      </c>
      <c r="V193" s="6">
        <f t="shared" si="38"/>
        <v>3.1267970700318871E-2</v>
      </c>
      <c r="W193" s="6">
        <f t="shared" si="39"/>
        <v>4.7949810296466584E-4</v>
      </c>
      <c r="X193" s="6">
        <f t="shared" si="40"/>
        <v>0.1343533565705417</v>
      </c>
      <c r="Y193" s="6">
        <f t="shared" si="41"/>
        <v>0.15045623521459123</v>
      </c>
    </row>
    <row r="194" spans="1:25" x14ac:dyDescent="0.35">
      <c r="A194" s="2">
        <v>45239</v>
      </c>
      <c r="B194" s="3">
        <v>212953</v>
      </c>
      <c r="C194" s="3">
        <v>23498.999999999996</v>
      </c>
      <c r="D194" s="3">
        <f t="shared" si="31"/>
        <v>236452</v>
      </c>
      <c r="E194" s="4">
        <f t="shared" si="32"/>
        <v>2464.7337962962961</v>
      </c>
      <c r="F194" s="4">
        <f t="shared" si="32"/>
        <v>271.97916666666663</v>
      </c>
      <c r="G194" s="4">
        <f t="shared" si="33"/>
        <v>2736.7129629629626</v>
      </c>
      <c r="H194" s="3">
        <v>155657</v>
      </c>
      <c r="I194" s="3">
        <v>71293</v>
      </c>
      <c r="J194" s="4">
        <f t="shared" si="28"/>
        <v>226950</v>
      </c>
      <c r="K194" s="4">
        <f t="shared" si="34"/>
        <v>1801.585648148148</v>
      </c>
      <c r="L194" s="4">
        <f t="shared" si="35"/>
        <v>825.15046296296293</v>
      </c>
      <c r="M194" s="4">
        <f t="shared" si="29"/>
        <v>2626.7361111111109</v>
      </c>
      <c r="N194" s="5">
        <f t="shared" si="30"/>
        <v>4.0185745944208547E-2</v>
      </c>
      <c r="O194" s="7">
        <v>50.41513230166484</v>
      </c>
      <c r="P194" s="7">
        <v>22.816791074266508</v>
      </c>
      <c r="Q194" s="3">
        <v>24840.0000000006</v>
      </c>
      <c r="R194" s="3">
        <v>6779.9999999992906</v>
      </c>
      <c r="S194" s="3">
        <v>106.39999999999873</v>
      </c>
      <c r="T194" s="3">
        <f t="shared" si="36"/>
        <v>31726.399999999889</v>
      </c>
      <c r="U194" s="6">
        <f t="shared" si="37"/>
        <v>0.10505303401959214</v>
      </c>
      <c r="V194" s="6">
        <f t="shared" si="38"/>
        <v>2.8673895758967109E-2</v>
      </c>
      <c r="W194" s="6">
        <f t="shared" si="39"/>
        <v>4.4998562076023349E-4</v>
      </c>
      <c r="X194" s="6">
        <f t="shared" si="40"/>
        <v>0.13417691539931947</v>
      </c>
      <c r="Y194" s="6">
        <f t="shared" si="41"/>
        <v>0.14898310894892247</v>
      </c>
    </row>
    <row r="195" spans="1:25" x14ac:dyDescent="0.35">
      <c r="A195" s="2">
        <v>45240</v>
      </c>
      <c r="B195" s="3">
        <v>212565</v>
      </c>
      <c r="C195" s="3">
        <v>22827.599999999999</v>
      </c>
      <c r="D195" s="3">
        <f t="shared" si="31"/>
        <v>235392.6</v>
      </c>
      <c r="E195" s="4">
        <f t="shared" si="32"/>
        <v>2460.2430555555552</v>
      </c>
      <c r="F195" s="4">
        <f t="shared" si="32"/>
        <v>264.20833333333331</v>
      </c>
      <c r="G195" s="4">
        <f t="shared" si="33"/>
        <v>2724.4513888888887</v>
      </c>
      <c r="H195" s="3">
        <v>155272</v>
      </c>
      <c r="I195" s="3">
        <v>71251</v>
      </c>
      <c r="J195" s="4">
        <f t="shared" ref="J195:J246" si="42">SUM(H195:I195)</f>
        <v>226523</v>
      </c>
      <c r="K195" s="4">
        <f t="shared" si="34"/>
        <v>1797.1296296296296</v>
      </c>
      <c r="L195" s="4">
        <f t="shared" si="35"/>
        <v>824.66435185185185</v>
      </c>
      <c r="M195" s="4">
        <f t="shared" ref="M195:M246" si="43">SUM(K195:L195)</f>
        <v>2621.7939814814813</v>
      </c>
      <c r="N195" s="5">
        <f t="shared" ref="N195:N246" si="44">(D195-J195)/D195</f>
        <v>3.7680029023852091E-2</v>
      </c>
      <c r="O195" s="7">
        <v>52.845769311522105</v>
      </c>
      <c r="P195" s="7">
        <v>21.71698849752638</v>
      </c>
      <c r="Q195" s="3">
        <v>25019.999999999072</v>
      </c>
      <c r="R195" s="3">
        <v>6659.9999999993997</v>
      </c>
      <c r="S195" s="3">
        <v>115.20000000000437</v>
      </c>
      <c r="T195" s="3">
        <f t="shared" si="36"/>
        <v>31795.199999998476</v>
      </c>
      <c r="U195" s="6">
        <f t="shared" si="37"/>
        <v>0.10629051210615402</v>
      </c>
      <c r="V195" s="6">
        <f t="shared" si="38"/>
        <v>2.8293157898758924E-2</v>
      </c>
      <c r="W195" s="6">
        <f t="shared" si="39"/>
        <v>4.8939516365427102E-4</v>
      </c>
      <c r="X195" s="6">
        <f t="shared" si="40"/>
        <v>0.13507306516856721</v>
      </c>
      <c r="Y195" s="6">
        <f t="shared" si="41"/>
        <v>0.14957871709829218</v>
      </c>
    </row>
    <row r="196" spans="1:25" x14ac:dyDescent="0.35">
      <c r="A196" s="2">
        <v>45241</v>
      </c>
      <c r="B196" s="3">
        <v>212447</v>
      </c>
      <c r="C196" s="3">
        <v>17456.400000000001</v>
      </c>
      <c r="D196" s="3">
        <f t="shared" ref="D196:D246" si="45">SUM(B196:C196)</f>
        <v>229903.4</v>
      </c>
      <c r="E196" s="4">
        <f t="shared" ref="E196:F246" si="46">B196/86.4</f>
        <v>2458.8773148148148</v>
      </c>
      <c r="F196" s="4">
        <f t="shared" si="46"/>
        <v>202.04166666666666</v>
      </c>
      <c r="G196" s="4">
        <f t="shared" ref="G196:G246" si="47">SUM(E196:F196)</f>
        <v>2660.9189814814813</v>
      </c>
      <c r="H196" s="3">
        <v>152969</v>
      </c>
      <c r="I196" s="3">
        <v>67457</v>
      </c>
      <c r="J196" s="4">
        <f t="shared" si="42"/>
        <v>220426</v>
      </c>
      <c r="K196" s="4">
        <f t="shared" ref="K196:K246" si="48">H196/86.4</f>
        <v>1770.474537037037</v>
      </c>
      <c r="L196" s="4">
        <f t="shared" ref="L196:L246" si="49">I196/86.4</f>
        <v>780.75231481481478</v>
      </c>
      <c r="M196" s="4">
        <f t="shared" si="43"/>
        <v>2551.2268518518517</v>
      </c>
      <c r="N196" s="5">
        <f t="shared" si="44"/>
        <v>4.1223400784851351E-2</v>
      </c>
      <c r="O196" s="7">
        <v>53.617427015376883</v>
      </c>
      <c r="P196" s="7">
        <v>23.097347121206447</v>
      </c>
      <c r="Q196" s="3">
        <v>23549.999999999727</v>
      </c>
      <c r="R196" s="3">
        <v>5640.0000000012369</v>
      </c>
      <c r="S196" s="3">
        <v>127.20000000000255</v>
      </c>
      <c r="T196" s="3">
        <f t="shared" si="36"/>
        <v>29317.200000000965</v>
      </c>
      <c r="U196" s="6">
        <f t="shared" si="37"/>
        <v>0.10243432676506622</v>
      </c>
      <c r="V196" s="6">
        <f t="shared" si="38"/>
        <v>2.4532042588327259E-2</v>
      </c>
      <c r="W196" s="6">
        <f t="shared" si="39"/>
        <v>5.5327585411961086E-4</v>
      </c>
      <c r="X196" s="6">
        <f t="shared" si="40"/>
        <v>0.1275196452075131</v>
      </c>
      <c r="Y196" s="6">
        <f t="shared" si="41"/>
        <v>0.13799771237061934</v>
      </c>
    </row>
    <row r="197" spans="1:25" x14ac:dyDescent="0.35">
      <c r="A197" s="2">
        <v>45242</v>
      </c>
      <c r="B197" s="3">
        <v>212427</v>
      </c>
      <c r="C197" s="3">
        <v>17208</v>
      </c>
      <c r="D197" s="3">
        <f t="shared" si="45"/>
        <v>229635</v>
      </c>
      <c r="E197" s="4">
        <f t="shared" si="46"/>
        <v>2458.645833333333</v>
      </c>
      <c r="F197" s="4">
        <f t="shared" si="46"/>
        <v>199.16666666666666</v>
      </c>
      <c r="G197" s="4">
        <f t="shared" si="47"/>
        <v>2657.8124999999995</v>
      </c>
      <c r="H197" s="3">
        <v>153798</v>
      </c>
      <c r="I197" s="3">
        <v>66997</v>
      </c>
      <c r="J197" s="4">
        <f t="shared" si="42"/>
        <v>220795</v>
      </c>
      <c r="K197" s="4">
        <f t="shared" si="48"/>
        <v>1780.0694444444443</v>
      </c>
      <c r="L197" s="4">
        <f t="shared" si="49"/>
        <v>775.42824074074065</v>
      </c>
      <c r="M197" s="4">
        <f t="shared" si="43"/>
        <v>2555.4976851851852</v>
      </c>
      <c r="N197" s="5">
        <f t="shared" si="44"/>
        <v>3.8495873886820388E-2</v>
      </c>
      <c r="O197" s="7">
        <v>53.972202325587119</v>
      </c>
      <c r="P197" s="7">
        <v>23.592747110900497</v>
      </c>
      <c r="Q197" s="3">
        <v>23670.000000000982</v>
      </c>
      <c r="R197" s="3">
        <v>5500.0000000004547</v>
      </c>
      <c r="S197" s="3">
        <v>125.99999999999909</v>
      </c>
      <c r="T197" s="3">
        <f t="shared" ref="T197:T246" si="50">SUM(Q197:S197)</f>
        <v>29296.000000001437</v>
      </c>
      <c r="U197" s="6">
        <f t="shared" ref="U197:U246" si="51">Q197/$D197</f>
        <v>0.10307662159514439</v>
      </c>
      <c r="V197" s="6">
        <f t="shared" ref="V197:V246" si="52">R197/$D197</f>
        <v>2.3951052757639101E-2</v>
      </c>
      <c r="W197" s="6">
        <f t="shared" ref="W197:W246" si="53">S197/$D197</f>
        <v>5.486968449931373E-4</v>
      </c>
      <c r="X197" s="6">
        <f t="shared" ref="X197:X246" si="54">T197/$D197</f>
        <v>0.12757637119777662</v>
      </c>
      <c r="Y197" s="6">
        <f t="shared" ref="Y197:Y246" si="55">T197/B197</f>
        <v>0.13791090586413893</v>
      </c>
    </row>
    <row r="198" spans="1:25" x14ac:dyDescent="0.35">
      <c r="A198" s="2">
        <v>45243</v>
      </c>
      <c r="B198" s="3">
        <v>211929</v>
      </c>
      <c r="C198" s="3">
        <v>25516.800000000003</v>
      </c>
      <c r="D198" s="3">
        <f t="shared" si="45"/>
        <v>237445.8</v>
      </c>
      <c r="E198" s="4">
        <f t="shared" si="46"/>
        <v>2452.8819444444443</v>
      </c>
      <c r="F198" s="4">
        <f t="shared" si="46"/>
        <v>295.33333333333337</v>
      </c>
      <c r="G198" s="4">
        <f t="shared" si="47"/>
        <v>2748.2152777777778</v>
      </c>
      <c r="H198" s="3">
        <v>156031</v>
      </c>
      <c r="I198" s="3">
        <v>71434</v>
      </c>
      <c r="J198" s="4">
        <f t="shared" si="42"/>
        <v>227465</v>
      </c>
      <c r="K198" s="4">
        <f t="shared" si="48"/>
        <v>1805.9143518518517</v>
      </c>
      <c r="L198" s="4">
        <f t="shared" si="49"/>
        <v>826.78240740740739</v>
      </c>
      <c r="M198" s="4">
        <f t="shared" si="43"/>
        <v>2632.6967592592591</v>
      </c>
      <c r="N198" s="5">
        <f t="shared" si="44"/>
        <v>4.2034013657011364E-2</v>
      </c>
      <c r="O198" s="7">
        <v>53.931522112844505</v>
      </c>
      <c r="P198" s="7">
        <v>22.315982570700292</v>
      </c>
      <c r="Q198" s="3">
        <v>25619.999999999891</v>
      </c>
      <c r="R198" s="3">
        <v>7019.9999999999818</v>
      </c>
      <c r="S198" s="3">
        <v>121.19999999999891</v>
      </c>
      <c r="T198" s="3">
        <f t="shared" si="50"/>
        <v>32761.199999999873</v>
      </c>
      <c r="U198" s="6">
        <f t="shared" si="51"/>
        <v>0.10789830774012382</v>
      </c>
      <c r="V198" s="6">
        <f t="shared" si="52"/>
        <v>2.956464169928456E-2</v>
      </c>
      <c r="W198" s="6">
        <f t="shared" si="53"/>
        <v>5.1043227549191824E-4</v>
      </c>
      <c r="X198" s="6">
        <f t="shared" si="54"/>
        <v>0.13797338171490031</v>
      </c>
      <c r="Y198" s="6">
        <f t="shared" si="55"/>
        <v>0.15458573390144753</v>
      </c>
    </row>
    <row r="199" spans="1:25" x14ac:dyDescent="0.35">
      <c r="A199" s="2">
        <v>45244</v>
      </c>
      <c r="B199" s="3">
        <v>211877</v>
      </c>
      <c r="C199" s="3">
        <v>27385.199999999997</v>
      </c>
      <c r="D199" s="3">
        <f t="shared" si="45"/>
        <v>239262.2</v>
      </c>
      <c r="E199" s="4">
        <f t="shared" si="46"/>
        <v>2452.2800925925926</v>
      </c>
      <c r="F199" s="4">
        <f t="shared" si="46"/>
        <v>316.95833333333326</v>
      </c>
      <c r="G199" s="4">
        <f t="shared" si="47"/>
        <v>2769.2384259259261</v>
      </c>
      <c r="H199" s="3">
        <v>155414</v>
      </c>
      <c r="I199" s="3">
        <v>71435</v>
      </c>
      <c r="J199" s="4">
        <f t="shared" si="42"/>
        <v>226849</v>
      </c>
      <c r="K199" s="4">
        <f t="shared" si="48"/>
        <v>1798.773148148148</v>
      </c>
      <c r="L199" s="4">
        <f t="shared" si="49"/>
        <v>826.79398148148141</v>
      </c>
      <c r="M199" s="4">
        <f t="shared" si="43"/>
        <v>2625.5671296296296</v>
      </c>
      <c r="N199" s="5">
        <f t="shared" si="44"/>
        <v>5.1881157993197466E-2</v>
      </c>
      <c r="O199" s="7">
        <v>51.639790215973932</v>
      </c>
      <c r="P199" s="7">
        <v>22.146566964133854</v>
      </c>
      <c r="Q199" s="3">
        <v>25380.000000001473</v>
      </c>
      <c r="R199" s="3">
        <v>7299.9999999983629</v>
      </c>
      <c r="S199" s="3">
        <v>132.79999999999745</v>
      </c>
      <c r="T199" s="3">
        <f t="shared" si="50"/>
        <v>32812.799999999836</v>
      </c>
      <c r="U199" s="6">
        <f t="shared" si="51"/>
        <v>0.10607609559722125</v>
      </c>
      <c r="V199" s="6">
        <f t="shared" si="52"/>
        <v>3.0510460908569605E-2</v>
      </c>
      <c r="W199" s="6">
        <f t="shared" si="53"/>
        <v>5.5503961762450331E-4</v>
      </c>
      <c r="X199" s="6">
        <f t="shared" si="54"/>
        <v>0.13714159612341537</v>
      </c>
      <c r="Y199" s="6">
        <f t="shared" si="55"/>
        <v>0.15486721069299564</v>
      </c>
    </row>
    <row r="200" spans="1:25" x14ac:dyDescent="0.35">
      <c r="A200" s="2">
        <v>45245</v>
      </c>
      <c r="B200" s="3">
        <v>211421</v>
      </c>
      <c r="C200" s="3">
        <v>25513.199999999997</v>
      </c>
      <c r="D200" s="3">
        <f t="shared" si="45"/>
        <v>236934.2</v>
      </c>
      <c r="E200" s="4">
        <f t="shared" si="46"/>
        <v>2447.0023148148148</v>
      </c>
      <c r="F200" s="4">
        <f t="shared" si="46"/>
        <v>295.29166666666663</v>
      </c>
      <c r="G200" s="4">
        <f t="shared" si="47"/>
        <v>2742.2939814814813</v>
      </c>
      <c r="H200" s="3">
        <v>155518</v>
      </c>
      <c r="I200" s="3">
        <v>71873</v>
      </c>
      <c r="J200" s="4">
        <f t="shared" si="42"/>
        <v>227391</v>
      </c>
      <c r="K200" s="4">
        <f t="shared" si="48"/>
        <v>1799.9768518518517</v>
      </c>
      <c r="L200" s="4">
        <f t="shared" si="49"/>
        <v>831.86342592592587</v>
      </c>
      <c r="M200" s="4">
        <f t="shared" si="43"/>
        <v>2631.8402777777774</v>
      </c>
      <c r="N200" s="5">
        <f t="shared" si="44"/>
        <v>4.0277849293179332E-2</v>
      </c>
      <c r="O200" s="7">
        <v>49.242716862156655</v>
      </c>
      <c r="P200" s="7">
        <v>20.978354489803539</v>
      </c>
      <c r="Q200" s="3">
        <v>25259.999999998854</v>
      </c>
      <c r="R200" s="3">
        <v>5560.0000000013097</v>
      </c>
      <c r="S200" s="3">
        <v>90.799999999999272</v>
      </c>
      <c r="T200" s="3">
        <f t="shared" si="50"/>
        <v>30910.800000000163</v>
      </c>
      <c r="U200" s="6">
        <f t="shared" si="51"/>
        <v>0.1066118778968965</v>
      </c>
      <c r="V200" s="6">
        <f t="shared" si="52"/>
        <v>2.3466430764327435E-2</v>
      </c>
      <c r="W200" s="6">
        <f t="shared" si="53"/>
        <v>3.8322876140295181E-4</v>
      </c>
      <c r="X200" s="6">
        <f t="shared" si="54"/>
        <v>0.13046153742262687</v>
      </c>
      <c r="Y200" s="6">
        <f t="shared" si="55"/>
        <v>0.14620496544808775</v>
      </c>
    </row>
    <row r="201" spans="1:25" x14ac:dyDescent="0.35">
      <c r="A201" s="2">
        <v>45246</v>
      </c>
      <c r="B201" s="3">
        <v>211071</v>
      </c>
      <c r="C201" s="3">
        <v>27540</v>
      </c>
      <c r="D201" s="3">
        <f t="shared" si="45"/>
        <v>238611</v>
      </c>
      <c r="E201" s="4">
        <f t="shared" si="46"/>
        <v>2442.9513888888887</v>
      </c>
      <c r="F201" s="4">
        <f t="shared" si="46"/>
        <v>318.75</v>
      </c>
      <c r="G201" s="4">
        <f t="shared" si="47"/>
        <v>2761.7013888888887</v>
      </c>
      <c r="H201" s="3">
        <v>155772</v>
      </c>
      <c r="I201" s="3">
        <v>72368</v>
      </c>
      <c r="J201" s="4">
        <f t="shared" si="42"/>
        <v>228140</v>
      </c>
      <c r="K201" s="4">
        <f t="shared" si="48"/>
        <v>1802.9166666666665</v>
      </c>
      <c r="L201" s="4">
        <f t="shared" si="49"/>
        <v>837.5925925925925</v>
      </c>
      <c r="M201" s="4">
        <f t="shared" si="43"/>
        <v>2640.5092592592591</v>
      </c>
      <c r="N201" s="5">
        <f t="shared" si="44"/>
        <v>4.3883140341392478E-2</v>
      </c>
      <c r="O201" s="7">
        <v>51.009504046699433</v>
      </c>
      <c r="P201" s="7">
        <v>22.017204298408902</v>
      </c>
      <c r="Q201" s="3">
        <v>25770.000000000437</v>
      </c>
      <c r="R201" s="3">
        <v>8559.9999999999454</v>
      </c>
      <c r="S201" s="3">
        <v>94.800000000000182</v>
      </c>
      <c r="T201" s="3">
        <f t="shared" si="50"/>
        <v>34424.800000000381</v>
      </c>
      <c r="U201" s="6">
        <f t="shared" si="51"/>
        <v>0.10800005029106134</v>
      </c>
      <c r="V201" s="6">
        <f t="shared" si="52"/>
        <v>3.5874289114919036E-2</v>
      </c>
      <c r="W201" s="6">
        <f t="shared" si="53"/>
        <v>3.9729937010448042E-4</v>
      </c>
      <c r="X201" s="6">
        <f t="shared" si="54"/>
        <v>0.14427163877608484</v>
      </c>
      <c r="Y201" s="6">
        <f t="shared" si="55"/>
        <v>0.16309583031302444</v>
      </c>
    </row>
    <row r="202" spans="1:25" x14ac:dyDescent="0.35">
      <c r="A202" s="2">
        <v>45247</v>
      </c>
      <c r="B202" s="3">
        <v>211786</v>
      </c>
      <c r="C202" s="3">
        <v>25261.199999999997</v>
      </c>
      <c r="D202" s="3">
        <f t="shared" si="45"/>
        <v>237047.2</v>
      </c>
      <c r="E202" s="4">
        <f t="shared" si="46"/>
        <v>2451.2268518518517</v>
      </c>
      <c r="F202" s="4">
        <f t="shared" si="46"/>
        <v>292.37499999999994</v>
      </c>
      <c r="G202" s="4">
        <f t="shared" si="47"/>
        <v>2743.6018518518517</v>
      </c>
      <c r="H202" s="3">
        <v>155337</v>
      </c>
      <c r="I202" s="3">
        <v>70936</v>
      </c>
      <c r="J202" s="4">
        <f t="shared" si="42"/>
        <v>226273</v>
      </c>
      <c r="K202" s="4">
        <f t="shared" si="48"/>
        <v>1797.8819444444443</v>
      </c>
      <c r="L202" s="4">
        <f t="shared" si="49"/>
        <v>821.01851851851848</v>
      </c>
      <c r="M202" s="4">
        <f t="shared" si="43"/>
        <v>2618.9004629629626</v>
      </c>
      <c r="N202" s="5">
        <f t="shared" si="44"/>
        <v>4.5451707508040638E-2</v>
      </c>
      <c r="O202" s="7">
        <v>49.855151444744472</v>
      </c>
      <c r="P202" s="7">
        <v>20.562360954069625</v>
      </c>
      <c r="Q202" s="3">
        <v>25229.999999999563</v>
      </c>
      <c r="R202" s="3">
        <v>6180.000000000291</v>
      </c>
      <c r="S202" s="3">
        <v>87.599999999997635</v>
      </c>
      <c r="T202" s="3">
        <f t="shared" si="50"/>
        <v>31497.599999999853</v>
      </c>
      <c r="U202" s="6">
        <f t="shared" si="51"/>
        <v>0.10643449912084835</v>
      </c>
      <c r="V202" s="6">
        <f t="shared" si="52"/>
        <v>2.607075721628558E-2</v>
      </c>
      <c r="W202" s="6">
        <f t="shared" si="53"/>
        <v>3.6954665568712743E-4</v>
      </c>
      <c r="X202" s="6">
        <f t="shared" si="54"/>
        <v>0.13287480299282106</v>
      </c>
      <c r="Y202" s="6">
        <f t="shared" si="55"/>
        <v>0.14872371167121459</v>
      </c>
    </row>
    <row r="203" spans="1:25" x14ac:dyDescent="0.35">
      <c r="A203" s="2">
        <v>45248</v>
      </c>
      <c r="B203" s="3">
        <v>212445</v>
      </c>
      <c r="C203" s="3">
        <v>19792.8</v>
      </c>
      <c r="D203" s="3">
        <f t="shared" si="45"/>
        <v>232237.8</v>
      </c>
      <c r="E203" s="4">
        <f t="shared" si="46"/>
        <v>2458.8541666666665</v>
      </c>
      <c r="F203" s="4">
        <f t="shared" si="46"/>
        <v>229.08333333333331</v>
      </c>
      <c r="G203" s="4">
        <f t="shared" si="47"/>
        <v>2687.9375</v>
      </c>
      <c r="H203" s="3">
        <v>152436</v>
      </c>
      <c r="I203" s="3">
        <v>67175</v>
      </c>
      <c r="J203" s="4">
        <f t="shared" si="42"/>
        <v>219611</v>
      </c>
      <c r="K203" s="4">
        <f t="shared" si="48"/>
        <v>1764.3055555555554</v>
      </c>
      <c r="L203" s="4">
        <f t="shared" si="49"/>
        <v>777.48842592592587</v>
      </c>
      <c r="M203" s="4">
        <f t="shared" si="43"/>
        <v>2541.7939814814813</v>
      </c>
      <c r="N203" s="5">
        <f t="shared" si="44"/>
        <v>5.4370132682965429E-2</v>
      </c>
      <c r="O203" s="7">
        <v>48.708030169680391</v>
      </c>
      <c r="P203" s="7">
        <v>20.866303159531181</v>
      </c>
      <c r="Q203" s="3">
        <v>23940.000000001419</v>
      </c>
      <c r="R203" s="3">
        <v>4999.9999999995453</v>
      </c>
      <c r="S203" s="3">
        <v>92.800000000002001</v>
      </c>
      <c r="T203" s="3">
        <f t="shared" si="50"/>
        <v>29032.800000000967</v>
      </c>
      <c r="U203" s="6">
        <f t="shared" si="51"/>
        <v>0.10308399407848946</v>
      </c>
      <c r="V203" s="6">
        <f t="shared" si="52"/>
        <v>2.1529656240282784E-2</v>
      </c>
      <c r="W203" s="6">
        <f t="shared" si="53"/>
        <v>3.9959041981969346E-4</v>
      </c>
      <c r="X203" s="6">
        <f t="shared" si="54"/>
        <v>0.12501324073859194</v>
      </c>
      <c r="Y203" s="6">
        <f t="shared" si="55"/>
        <v>0.13666031208077839</v>
      </c>
    </row>
    <row r="204" spans="1:25" x14ac:dyDescent="0.35">
      <c r="A204" s="2">
        <v>45249</v>
      </c>
      <c r="B204" s="3">
        <v>212327</v>
      </c>
      <c r="C204" s="3">
        <v>17456.400000000001</v>
      </c>
      <c r="D204" s="3">
        <f t="shared" si="45"/>
        <v>229783.4</v>
      </c>
      <c r="E204" s="4">
        <f t="shared" si="46"/>
        <v>2457.4884259259256</v>
      </c>
      <c r="F204" s="4">
        <f t="shared" si="46"/>
        <v>202.04166666666666</v>
      </c>
      <c r="G204" s="4">
        <f t="shared" si="47"/>
        <v>2659.5300925925922</v>
      </c>
      <c r="H204" s="3">
        <v>152101</v>
      </c>
      <c r="I204" s="3">
        <v>66919</v>
      </c>
      <c r="J204" s="4">
        <f t="shared" si="42"/>
        <v>219020</v>
      </c>
      <c r="K204" s="4">
        <f t="shared" si="48"/>
        <v>1760.4282407407406</v>
      </c>
      <c r="L204" s="4">
        <f t="shared" si="49"/>
        <v>774.52546296296293</v>
      </c>
      <c r="M204" s="4">
        <f t="shared" si="43"/>
        <v>2534.9537037037035</v>
      </c>
      <c r="N204" s="5">
        <f t="shared" si="44"/>
        <v>4.6841503781387142E-2</v>
      </c>
      <c r="O204" s="7">
        <v>48.51411739476567</v>
      </c>
      <c r="P204" s="7">
        <v>20.793540963990687</v>
      </c>
      <c r="Q204" s="3">
        <v>23399.999999997817</v>
      </c>
      <c r="R204" s="3">
        <v>4599.9999999994543</v>
      </c>
      <c r="S204" s="3">
        <v>88.000000000001819</v>
      </c>
      <c r="T204" s="3">
        <f t="shared" si="50"/>
        <v>28087.999999997272</v>
      </c>
      <c r="U204" s="6">
        <f t="shared" si="51"/>
        <v>0.10183503246969894</v>
      </c>
      <c r="V204" s="6">
        <f t="shared" si="52"/>
        <v>2.0018852536777914E-2</v>
      </c>
      <c r="W204" s="6">
        <f t="shared" si="53"/>
        <v>3.829693528775439E-4</v>
      </c>
      <c r="X204" s="6">
        <f t="shared" si="54"/>
        <v>0.12223685435935439</v>
      </c>
      <c r="Y204" s="6">
        <f t="shared" si="55"/>
        <v>0.1322865203200595</v>
      </c>
    </row>
    <row r="205" spans="1:25" x14ac:dyDescent="0.35">
      <c r="A205" s="2">
        <v>45250</v>
      </c>
      <c r="B205" s="3">
        <v>211890</v>
      </c>
      <c r="C205" s="3">
        <v>23160.6</v>
      </c>
      <c r="D205" s="3">
        <f t="shared" si="45"/>
        <v>235050.6</v>
      </c>
      <c r="E205" s="4">
        <f t="shared" si="46"/>
        <v>2452.4305555555552</v>
      </c>
      <c r="F205" s="4">
        <f t="shared" si="46"/>
        <v>268.06249999999994</v>
      </c>
      <c r="G205" s="4">
        <f t="shared" si="47"/>
        <v>2720.4930555555552</v>
      </c>
      <c r="H205" s="3">
        <v>154720</v>
      </c>
      <c r="I205" s="3">
        <v>70417</v>
      </c>
      <c r="J205" s="4">
        <f t="shared" si="42"/>
        <v>225137</v>
      </c>
      <c r="K205" s="4">
        <f t="shared" si="48"/>
        <v>1790.7407407407406</v>
      </c>
      <c r="L205" s="4">
        <f t="shared" si="49"/>
        <v>815.01157407407402</v>
      </c>
      <c r="M205" s="4">
        <f t="shared" si="43"/>
        <v>2605.7523148148148</v>
      </c>
      <c r="N205" s="5">
        <f t="shared" si="44"/>
        <v>4.217645051746307E-2</v>
      </c>
      <c r="O205" s="7">
        <v>50.50942450294594</v>
      </c>
      <c r="P205" s="7">
        <v>20.423922085134983</v>
      </c>
      <c r="Q205" s="3">
        <v>24480.000000000928</v>
      </c>
      <c r="R205" s="3">
        <v>5720.0000000002547</v>
      </c>
      <c r="S205" s="3">
        <v>91.599999999998545</v>
      </c>
      <c r="T205" s="3">
        <f t="shared" si="50"/>
        <v>30291.600000001181</v>
      </c>
      <c r="U205" s="6">
        <f t="shared" si="51"/>
        <v>0.10414778775293884</v>
      </c>
      <c r="V205" s="6">
        <f t="shared" si="52"/>
        <v>2.4335185700441755E-2</v>
      </c>
      <c r="W205" s="6">
        <f t="shared" si="53"/>
        <v>3.8970332345460314E-4</v>
      </c>
      <c r="X205" s="6">
        <f t="shared" si="54"/>
        <v>0.1288726767768352</v>
      </c>
      <c r="Y205" s="6">
        <f t="shared" si="55"/>
        <v>0.1429590825428344</v>
      </c>
    </row>
    <row r="206" spans="1:25" x14ac:dyDescent="0.35">
      <c r="A206" s="2">
        <v>45251</v>
      </c>
      <c r="B206" s="3">
        <v>211319</v>
      </c>
      <c r="C206" s="3">
        <v>25448.400000000001</v>
      </c>
      <c r="D206" s="3">
        <f t="shared" si="45"/>
        <v>236767.4</v>
      </c>
      <c r="E206" s="4">
        <f t="shared" si="46"/>
        <v>2445.8217592592591</v>
      </c>
      <c r="F206" s="4">
        <f t="shared" si="46"/>
        <v>294.54166666666669</v>
      </c>
      <c r="G206" s="4">
        <f t="shared" si="47"/>
        <v>2740.3634259259256</v>
      </c>
      <c r="H206" s="3">
        <v>154649</v>
      </c>
      <c r="I206" s="3">
        <v>70579</v>
      </c>
      <c r="J206" s="4">
        <f t="shared" si="42"/>
        <v>225228</v>
      </c>
      <c r="K206" s="4">
        <f t="shared" si="48"/>
        <v>1789.9189814814813</v>
      </c>
      <c r="L206" s="4">
        <f t="shared" si="49"/>
        <v>816.88657407407402</v>
      </c>
      <c r="M206" s="4">
        <f t="shared" si="43"/>
        <v>2606.8055555555552</v>
      </c>
      <c r="N206" s="5">
        <f t="shared" si="44"/>
        <v>4.8737283933514473E-2</v>
      </c>
      <c r="O206" s="7">
        <v>50.109208668541065</v>
      </c>
      <c r="P206" s="7">
        <v>21.853899801368552</v>
      </c>
      <c r="Q206" s="3">
        <v>24359.999999999673</v>
      </c>
      <c r="R206" s="3">
        <v>7599.9999999994543</v>
      </c>
      <c r="S206" s="3">
        <v>105.20000000000437</v>
      </c>
      <c r="T206" s="3">
        <f t="shared" si="50"/>
        <v>32065.199999999131</v>
      </c>
      <c r="U206" s="6">
        <f t="shared" si="51"/>
        <v>0.10288578579652297</v>
      </c>
      <c r="V206" s="6">
        <f t="shared" si="52"/>
        <v>3.2099013631097247E-2</v>
      </c>
      <c r="W206" s="6">
        <f t="shared" si="53"/>
        <v>4.4431792552523854E-4</v>
      </c>
      <c r="X206" s="6">
        <f t="shared" si="54"/>
        <v>0.13542911735314545</v>
      </c>
      <c r="Y206" s="6">
        <f t="shared" si="55"/>
        <v>0.15173836711322281</v>
      </c>
    </row>
    <row r="207" spans="1:25" x14ac:dyDescent="0.35">
      <c r="A207" s="2">
        <v>45252</v>
      </c>
      <c r="B207" s="3">
        <v>211584</v>
      </c>
      <c r="C207" s="3">
        <v>24480</v>
      </c>
      <c r="D207" s="3">
        <f t="shared" si="45"/>
        <v>236064</v>
      </c>
      <c r="E207" s="4">
        <f t="shared" si="46"/>
        <v>2448.8888888888887</v>
      </c>
      <c r="F207" s="4">
        <f t="shared" si="46"/>
        <v>283.33333333333331</v>
      </c>
      <c r="G207" s="4">
        <f t="shared" si="47"/>
        <v>2732.2222222222222</v>
      </c>
      <c r="H207" s="3">
        <v>154811</v>
      </c>
      <c r="I207" s="3">
        <v>71436</v>
      </c>
      <c r="J207" s="4">
        <f t="shared" si="42"/>
        <v>226247</v>
      </c>
      <c r="K207" s="4">
        <f t="shared" si="48"/>
        <v>1791.7939814814813</v>
      </c>
      <c r="L207" s="4">
        <f t="shared" si="49"/>
        <v>826.80555555555554</v>
      </c>
      <c r="M207" s="4">
        <f t="shared" si="43"/>
        <v>2618.599537037037</v>
      </c>
      <c r="N207" s="5">
        <f t="shared" si="44"/>
        <v>4.1586180018977903E-2</v>
      </c>
      <c r="O207" s="7">
        <v>48.981814481666405</v>
      </c>
      <c r="P207" s="7">
        <v>20.863835395992901</v>
      </c>
      <c r="Q207" s="3">
        <v>24450.000000001637</v>
      </c>
      <c r="R207" s="3">
        <v>7340.0000000006003</v>
      </c>
      <c r="S207" s="3">
        <v>109.99999999999545</v>
      </c>
      <c r="T207" s="3">
        <f t="shared" si="50"/>
        <v>31900.000000002234</v>
      </c>
      <c r="U207" s="6">
        <f t="shared" si="51"/>
        <v>0.10357360715738799</v>
      </c>
      <c r="V207" s="6">
        <f t="shared" si="52"/>
        <v>3.1093262843977058E-2</v>
      </c>
      <c r="W207" s="6">
        <f t="shared" si="53"/>
        <v>4.6597532872439448E-4</v>
      </c>
      <c r="X207" s="6">
        <f t="shared" si="54"/>
        <v>0.13513284533008943</v>
      </c>
      <c r="Y207" s="6">
        <f t="shared" si="55"/>
        <v>0.15076754385965968</v>
      </c>
    </row>
    <row r="208" spans="1:25" x14ac:dyDescent="0.35">
      <c r="A208" s="2">
        <v>45253</v>
      </c>
      <c r="B208" s="3">
        <v>212534</v>
      </c>
      <c r="C208" s="3">
        <v>26229.599999999999</v>
      </c>
      <c r="D208" s="3">
        <f t="shared" si="45"/>
        <v>238763.6</v>
      </c>
      <c r="E208" s="4">
        <f t="shared" si="46"/>
        <v>2459.8842592592591</v>
      </c>
      <c r="F208" s="4">
        <f t="shared" si="46"/>
        <v>303.58333333333331</v>
      </c>
      <c r="G208" s="4">
        <f t="shared" si="47"/>
        <v>2763.4675925925926</v>
      </c>
      <c r="H208" s="3">
        <v>154800</v>
      </c>
      <c r="I208" s="3">
        <v>70932</v>
      </c>
      <c r="J208" s="4">
        <f t="shared" si="42"/>
        <v>225732</v>
      </c>
      <c r="K208" s="4">
        <f t="shared" si="48"/>
        <v>1791.6666666666665</v>
      </c>
      <c r="L208" s="4">
        <f t="shared" si="49"/>
        <v>820.97222222222217</v>
      </c>
      <c r="M208" s="4">
        <f t="shared" si="43"/>
        <v>2612.6388888888887</v>
      </c>
      <c r="N208" s="5">
        <f t="shared" si="44"/>
        <v>5.4579508769343421E-2</v>
      </c>
      <c r="O208" s="7">
        <v>50.51716490342109</v>
      </c>
      <c r="P208" s="7">
        <v>21.434086001939242</v>
      </c>
      <c r="Q208" s="3">
        <v>24239.999999999782</v>
      </c>
      <c r="R208" s="3">
        <v>7119.9999999989814</v>
      </c>
      <c r="S208" s="3">
        <v>98.800000000005639</v>
      </c>
      <c r="T208" s="3">
        <f t="shared" si="50"/>
        <v>31458.79999999877</v>
      </c>
      <c r="U208" s="6">
        <f t="shared" si="51"/>
        <v>0.10152301272053102</v>
      </c>
      <c r="V208" s="6">
        <f t="shared" si="52"/>
        <v>2.9820290865102475E-2</v>
      </c>
      <c r="W208" s="6">
        <f t="shared" si="53"/>
        <v>4.1379841818436994E-4</v>
      </c>
      <c r="X208" s="6">
        <f t="shared" si="54"/>
        <v>0.13175710200381788</v>
      </c>
      <c r="Y208" s="6">
        <f t="shared" si="55"/>
        <v>0.14801772892807161</v>
      </c>
    </row>
    <row r="209" spans="1:25" x14ac:dyDescent="0.35">
      <c r="A209" s="2">
        <v>45254</v>
      </c>
      <c r="B209" s="3">
        <v>212577</v>
      </c>
      <c r="C209" s="3">
        <v>23378.399999999998</v>
      </c>
      <c r="D209" s="3">
        <f t="shared" si="45"/>
        <v>235955.4</v>
      </c>
      <c r="E209" s="4">
        <f t="shared" si="46"/>
        <v>2460.3819444444443</v>
      </c>
      <c r="F209" s="4">
        <f t="shared" si="46"/>
        <v>270.58333333333331</v>
      </c>
      <c r="G209" s="4">
        <f t="shared" si="47"/>
        <v>2730.9652777777778</v>
      </c>
      <c r="H209" s="3">
        <v>154180</v>
      </c>
      <c r="I209" s="3">
        <v>70325</v>
      </c>
      <c r="J209" s="4">
        <f t="shared" si="42"/>
        <v>224505</v>
      </c>
      <c r="K209" s="4">
        <f t="shared" si="48"/>
        <v>1784.4907407407406</v>
      </c>
      <c r="L209" s="4">
        <f t="shared" si="49"/>
        <v>813.94675925925924</v>
      </c>
      <c r="M209" s="4">
        <f t="shared" si="43"/>
        <v>2598.4375</v>
      </c>
      <c r="N209" s="5">
        <f t="shared" si="44"/>
        <v>4.8527815002326689E-2</v>
      </c>
      <c r="O209" s="7">
        <v>48.424750912018382</v>
      </c>
      <c r="P209" s="7">
        <v>21.353287263251964</v>
      </c>
      <c r="Q209" s="3">
        <v>24089.999999999236</v>
      </c>
      <c r="R209" s="3">
        <v>6180.000000000291</v>
      </c>
      <c r="S209" s="3">
        <v>102.00000000000045</v>
      </c>
      <c r="T209" s="3">
        <f t="shared" si="50"/>
        <v>30371.999999999527</v>
      </c>
      <c r="U209" s="6">
        <f t="shared" si="51"/>
        <v>0.10209556551788701</v>
      </c>
      <c r="V209" s="6">
        <f t="shared" si="52"/>
        <v>2.6191390406832354E-2</v>
      </c>
      <c r="W209" s="6">
        <f t="shared" si="53"/>
        <v>4.3228508438459325E-4</v>
      </c>
      <c r="X209" s="6">
        <f t="shared" si="54"/>
        <v>0.12871924100910395</v>
      </c>
      <c r="Y209" s="6">
        <f t="shared" si="55"/>
        <v>0.1428752875428646</v>
      </c>
    </row>
    <row r="210" spans="1:25" x14ac:dyDescent="0.35">
      <c r="A210" s="2">
        <v>45255</v>
      </c>
      <c r="B210" s="3">
        <v>211959</v>
      </c>
      <c r="C210" s="3">
        <v>23083.200000000001</v>
      </c>
      <c r="D210" s="3">
        <f t="shared" si="45"/>
        <v>235042.2</v>
      </c>
      <c r="E210" s="4">
        <f t="shared" si="46"/>
        <v>2453.2291666666665</v>
      </c>
      <c r="F210" s="4">
        <f t="shared" si="46"/>
        <v>267.16666666666669</v>
      </c>
      <c r="G210" s="4">
        <f t="shared" si="47"/>
        <v>2720.395833333333</v>
      </c>
      <c r="H210" s="3">
        <v>151884</v>
      </c>
      <c r="I210" s="3">
        <v>66440</v>
      </c>
      <c r="J210" s="4">
        <f t="shared" si="42"/>
        <v>218324</v>
      </c>
      <c r="K210" s="4">
        <f t="shared" si="48"/>
        <v>1757.9166666666665</v>
      </c>
      <c r="L210" s="4">
        <f t="shared" si="49"/>
        <v>768.98148148148141</v>
      </c>
      <c r="M210" s="4">
        <f t="shared" si="43"/>
        <v>2526.8981481481478</v>
      </c>
      <c r="N210" s="5">
        <f t="shared" si="44"/>
        <v>7.1128503732521275E-2</v>
      </c>
      <c r="O210" s="7">
        <v>53.056276981119304</v>
      </c>
      <c r="P210" s="7">
        <v>21.845706797851612</v>
      </c>
      <c r="Q210" s="3">
        <v>22979.999999999563</v>
      </c>
      <c r="R210" s="3">
        <v>6060.0000000004002</v>
      </c>
      <c r="S210" s="3">
        <v>94.399999999998272</v>
      </c>
      <c r="T210" s="3">
        <f t="shared" si="50"/>
        <v>29134.399999999961</v>
      </c>
      <c r="U210" s="6">
        <f t="shared" si="51"/>
        <v>9.7769677104790384E-2</v>
      </c>
      <c r="V210" s="6">
        <f t="shared" si="52"/>
        <v>2.5782604145129683E-2</v>
      </c>
      <c r="W210" s="6">
        <f t="shared" si="53"/>
        <v>4.0163000516502259E-4</v>
      </c>
      <c r="X210" s="6">
        <f t="shared" si="54"/>
        <v>0.12395391125508509</v>
      </c>
      <c r="Y210" s="6">
        <f t="shared" si="55"/>
        <v>0.13745299798545926</v>
      </c>
    </row>
    <row r="211" spans="1:25" x14ac:dyDescent="0.35">
      <c r="A211" s="2">
        <v>45256</v>
      </c>
      <c r="B211" s="3">
        <v>213051</v>
      </c>
      <c r="C211" s="3">
        <v>16830</v>
      </c>
      <c r="D211" s="3">
        <f t="shared" si="45"/>
        <v>229881</v>
      </c>
      <c r="E211" s="4">
        <f t="shared" si="46"/>
        <v>2465.8680555555552</v>
      </c>
      <c r="F211" s="4">
        <f t="shared" si="46"/>
        <v>194.79166666666666</v>
      </c>
      <c r="G211" s="4">
        <f t="shared" si="47"/>
        <v>2660.6597222222217</v>
      </c>
      <c r="H211" s="3">
        <v>151915</v>
      </c>
      <c r="I211" s="3">
        <v>66643</v>
      </c>
      <c r="J211" s="4">
        <f t="shared" si="42"/>
        <v>218558</v>
      </c>
      <c r="K211" s="4">
        <f t="shared" si="48"/>
        <v>1758.2754629629628</v>
      </c>
      <c r="L211" s="4">
        <f t="shared" si="49"/>
        <v>771.33101851851848</v>
      </c>
      <c r="M211" s="4">
        <f t="shared" si="43"/>
        <v>2529.6064814814813</v>
      </c>
      <c r="N211" s="5">
        <f t="shared" si="44"/>
        <v>4.9255919366976826E-2</v>
      </c>
      <c r="O211" s="7">
        <v>50.411557270265689</v>
      </c>
      <c r="P211" s="7">
        <v>20.735459828717779</v>
      </c>
      <c r="Q211" s="3">
        <v>22889.999999998963</v>
      </c>
      <c r="R211" s="3">
        <v>4779.9999999997453</v>
      </c>
      <c r="S211" s="3">
        <v>115.99999999999682</v>
      </c>
      <c r="T211" s="3">
        <f t="shared" si="50"/>
        <v>27785.999999998705</v>
      </c>
      <c r="U211" s="6">
        <f t="shared" si="51"/>
        <v>9.9573257467989798E-2</v>
      </c>
      <c r="V211" s="6">
        <f t="shared" si="52"/>
        <v>2.0793367002926492E-2</v>
      </c>
      <c r="W211" s="6">
        <f t="shared" si="53"/>
        <v>5.0460890634718321E-4</v>
      </c>
      <c r="X211" s="6">
        <f t="shared" si="54"/>
        <v>0.12087123337726348</v>
      </c>
      <c r="Y211" s="6">
        <f t="shared" si="55"/>
        <v>0.13041947702662135</v>
      </c>
    </row>
    <row r="212" spans="1:25" x14ac:dyDescent="0.35">
      <c r="A212" s="2">
        <v>45257</v>
      </c>
      <c r="B212" s="3">
        <v>213622</v>
      </c>
      <c r="C212" s="3">
        <v>22388.400000000001</v>
      </c>
      <c r="D212" s="3">
        <f t="shared" si="45"/>
        <v>236010.4</v>
      </c>
      <c r="E212" s="4">
        <f t="shared" si="46"/>
        <v>2472.4768518518517</v>
      </c>
      <c r="F212" s="4">
        <f t="shared" si="46"/>
        <v>259.125</v>
      </c>
      <c r="G212" s="4">
        <f t="shared" si="47"/>
        <v>2731.6018518518517</v>
      </c>
      <c r="H212" s="3">
        <v>153418</v>
      </c>
      <c r="I212" s="3">
        <v>71163</v>
      </c>
      <c r="J212" s="4">
        <f t="shared" si="42"/>
        <v>224581</v>
      </c>
      <c r="K212" s="4">
        <f t="shared" si="48"/>
        <v>1775.6712962962961</v>
      </c>
      <c r="L212" s="4">
        <f t="shared" si="49"/>
        <v>823.64583333333326</v>
      </c>
      <c r="M212" s="4">
        <f t="shared" si="43"/>
        <v>2599.3171296296296</v>
      </c>
      <c r="N212" s="5">
        <f t="shared" si="44"/>
        <v>4.8427526922542374E-2</v>
      </c>
      <c r="O212" s="7">
        <v>51.045852680820083</v>
      </c>
      <c r="P212" s="7">
        <v>20.388836425529611</v>
      </c>
      <c r="Q212" s="3">
        <v>24360.000000002401</v>
      </c>
      <c r="R212" s="3">
        <v>6380.0000000014734</v>
      </c>
      <c r="S212" s="3">
        <v>99.600000000002638</v>
      </c>
      <c r="T212" s="3">
        <f t="shared" si="50"/>
        <v>30839.600000003877</v>
      </c>
      <c r="U212" s="6">
        <f t="shared" si="51"/>
        <v>0.10321579049059873</v>
      </c>
      <c r="V212" s="6">
        <f t="shared" si="52"/>
        <v>2.7032707033255627E-2</v>
      </c>
      <c r="W212" s="6">
        <f t="shared" si="53"/>
        <v>4.2201530102064415E-4</v>
      </c>
      <c r="X212" s="6">
        <f t="shared" si="54"/>
        <v>0.13067051282487499</v>
      </c>
      <c r="Y212" s="6">
        <f t="shared" si="55"/>
        <v>0.14436528072953103</v>
      </c>
    </row>
    <row r="213" spans="1:25" x14ac:dyDescent="0.35">
      <c r="A213" s="2">
        <v>45258</v>
      </c>
      <c r="B213" s="3">
        <v>213741</v>
      </c>
      <c r="C213" s="3">
        <v>26229.599999999999</v>
      </c>
      <c r="D213" s="3">
        <f t="shared" si="45"/>
        <v>239970.6</v>
      </c>
      <c r="E213" s="4">
        <f t="shared" si="46"/>
        <v>2473.8541666666665</v>
      </c>
      <c r="F213" s="4">
        <f t="shared" si="46"/>
        <v>303.58333333333331</v>
      </c>
      <c r="G213" s="4">
        <f t="shared" si="47"/>
        <v>2777.4375</v>
      </c>
      <c r="H213" s="3">
        <v>154453</v>
      </c>
      <c r="I213" s="3">
        <v>72497</v>
      </c>
      <c r="J213" s="4">
        <f t="shared" si="42"/>
        <v>226950</v>
      </c>
      <c r="K213" s="4">
        <f t="shared" si="48"/>
        <v>1787.6504629629628</v>
      </c>
      <c r="L213" s="4">
        <f t="shared" si="49"/>
        <v>839.08564814814804</v>
      </c>
      <c r="M213" s="4">
        <f t="shared" si="43"/>
        <v>2626.7361111111109</v>
      </c>
      <c r="N213" s="5">
        <f t="shared" si="44"/>
        <v>5.4259146745476342E-2</v>
      </c>
      <c r="O213" s="7">
        <v>50.927679923090352</v>
      </c>
      <c r="P213" s="7">
        <v>20.665728795520888</v>
      </c>
      <c r="Q213" s="3">
        <v>24719.999999997981</v>
      </c>
      <c r="R213" s="3">
        <v>6279.9999999997453</v>
      </c>
      <c r="S213" s="3">
        <v>91.199999999998909</v>
      </c>
      <c r="T213" s="3">
        <f t="shared" si="50"/>
        <v>31091.199999997727</v>
      </c>
      <c r="U213" s="6">
        <f t="shared" si="51"/>
        <v>0.1030126190458247</v>
      </c>
      <c r="V213" s="6">
        <f t="shared" si="52"/>
        <v>2.616987247604392E-2</v>
      </c>
      <c r="W213" s="6">
        <f t="shared" si="53"/>
        <v>3.8004655570306905E-4</v>
      </c>
      <c r="X213" s="6">
        <f t="shared" si="54"/>
        <v>0.1295625380775717</v>
      </c>
      <c r="Y213" s="6">
        <f t="shared" si="55"/>
        <v>0.14546203114983894</v>
      </c>
    </row>
    <row r="214" spans="1:25" x14ac:dyDescent="0.35">
      <c r="A214" s="2">
        <v>45259</v>
      </c>
      <c r="B214" s="3">
        <v>213414</v>
      </c>
      <c r="C214" s="3">
        <v>22827.599999999999</v>
      </c>
      <c r="D214" s="3">
        <f t="shared" si="45"/>
        <v>236241.6</v>
      </c>
      <c r="E214" s="4">
        <f t="shared" si="46"/>
        <v>2470.0694444444443</v>
      </c>
      <c r="F214" s="4">
        <f t="shared" si="46"/>
        <v>264.20833333333331</v>
      </c>
      <c r="G214" s="4">
        <f t="shared" si="47"/>
        <v>2734.2777777777778</v>
      </c>
      <c r="H214" s="3">
        <v>153456</v>
      </c>
      <c r="I214" s="3">
        <v>69748</v>
      </c>
      <c r="J214" s="4">
        <f t="shared" si="42"/>
        <v>223204</v>
      </c>
      <c r="K214" s="4">
        <f t="shared" si="48"/>
        <v>1776.1111111111111</v>
      </c>
      <c r="L214" s="4">
        <f t="shared" si="49"/>
        <v>807.26851851851848</v>
      </c>
      <c r="M214" s="4">
        <f t="shared" si="43"/>
        <v>2583.3796296296296</v>
      </c>
      <c r="N214" s="5">
        <f t="shared" si="44"/>
        <v>5.5187570690344148E-2</v>
      </c>
      <c r="O214" s="7">
        <v>51.994538521460854</v>
      </c>
      <c r="P214" s="7">
        <v>22.453697757786014</v>
      </c>
      <c r="Q214" s="3">
        <v>24750</v>
      </c>
      <c r="R214" s="3">
        <v>8279.9999999992906</v>
      </c>
      <c r="S214" s="3">
        <v>117.59999999999764</v>
      </c>
      <c r="T214" s="3">
        <f t="shared" si="50"/>
        <v>33147.599999999286</v>
      </c>
      <c r="U214" s="6">
        <f t="shared" si="51"/>
        <v>0.10476562976207408</v>
      </c>
      <c r="V214" s="6">
        <f t="shared" si="52"/>
        <v>3.5048865229490869E-2</v>
      </c>
      <c r="W214" s="6">
        <f t="shared" si="53"/>
        <v>4.9779547717251167E-4</v>
      </c>
      <c r="X214" s="6">
        <f t="shared" si="54"/>
        <v>0.14031229046873744</v>
      </c>
      <c r="Y214" s="6">
        <f t="shared" si="55"/>
        <v>0.15532064438133997</v>
      </c>
    </row>
    <row r="215" spans="1:25" x14ac:dyDescent="0.35">
      <c r="A215" s="2">
        <v>45260</v>
      </c>
      <c r="B215" s="3">
        <v>213114</v>
      </c>
      <c r="C215" s="3">
        <v>22827.599999999999</v>
      </c>
      <c r="D215" s="3">
        <f t="shared" si="45"/>
        <v>235941.6</v>
      </c>
      <c r="E215" s="4">
        <f t="shared" si="46"/>
        <v>2466.5972222222222</v>
      </c>
      <c r="F215" s="4">
        <f t="shared" si="46"/>
        <v>264.20833333333331</v>
      </c>
      <c r="G215" s="4">
        <f t="shared" si="47"/>
        <v>2730.8055555555557</v>
      </c>
      <c r="H215" s="3">
        <v>154255</v>
      </c>
      <c r="I215" s="3">
        <v>70254</v>
      </c>
      <c r="J215" s="4">
        <f t="shared" si="42"/>
        <v>224509</v>
      </c>
      <c r="K215" s="4">
        <f t="shared" si="48"/>
        <v>1785.3587962962961</v>
      </c>
      <c r="L215" s="4">
        <f t="shared" si="49"/>
        <v>813.125</v>
      </c>
      <c r="M215" s="4">
        <f t="shared" si="43"/>
        <v>2598.4837962962961</v>
      </c>
      <c r="N215" s="5">
        <f t="shared" si="44"/>
        <v>4.8455210950506422E-2</v>
      </c>
      <c r="O215" s="7">
        <v>54.459407574026443</v>
      </c>
      <c r="P215" s="7">
        <v>20.754689674354605</v>
      </c>
      <c r="Q215" s="3">
        <v>24810.00000000131</v>
      </c>
      <c r="R215" s="3">
        <v>4320.0000000006185</v>
      </c>
      <c r="S215" s="3">
        <v>110.79999999999927</v>
      </c>
      <c r="T215" s="3">
        <f t="shared" si="50"/>
        <v>29240.800000001927</v>
      </c>
      <c r="U215" s="6">
        <f t="shared" si="51"/>
        <v>0.10515313959048048</v>
      </c>
      <c r="V215" s="6">
        <f t="shared" si="52"/>
        <v>1.8309615599795111E-2</v>
      </c>
      <c r="W215" s="6">
        <f t="shared" si="53"/>
        <v>4.6960773343911915E-4</v>
      </c>
      <c r="X215" s="6">
        <f t="shared" si="54"/>
        <v>0.12393236292371471</v>
      </c>
      <c r="Y215" s="6">
        <f t="shared" si="55"/>
        <v>0.13720731627205124</v>
      </c>
    </row>
    <row r="216" spans="1:25" x14ac:dyDescent="0.35">
      <c r="A216" s="2">
        <v>45261</v>
      </c>
      <c r="B216" s="3">
        <v>213264</v>
      </c>
      <c r="C216" s="3">
        <v>25210.800000000003</v>
      </c>
      <c r="D216" s="3">
        <f t="shared" si="45"/>
        <v>238474.8</v>
      </c>
      <c r="E216" s="4">
        <f t="shared" si="46"/>
        <v>2468.333333333333</v>
      </c>
      <c r="F216" s="4">
        <f t="shared" si="46"/>
        <v>291.79166666666669</v>
      </c>
      <c r="G216" s="4">
        <f t="shared" si="47"/>
        <v>2760.1249999999995</v>
      </c>
      <c r="H216" s="3">
        <v>162552</v>
      </c>
      <c r="I216" s="3">
        <v>70120</v>
      </c>
      <c r="J216" s="4">
        <f t="shared" si="42"/>
        <v>232672</v>
      </c>
      <c r="K216" s="4">
        <f t="shared" si="48"/>
        <v>1881.3888888888887</v>
      </c>
      <c r="L216" s="4">
        <f t="shared" si="49"/>
        <v>811.57407407407402</v>
      </c>
      <c r="M216" s="4">
        <f t="shared" si="43"/>
        <v>2692.9629629629626</v>
      </c>
      <c r="N216" s="5">
        <f t="shared" si="44"/>
        <v>2.4332969353575255E-2</v>
      </c>
      <c r="O216" s="7">
        <v>49.721575233903998</v>
      </c>
      <c r="P216" s="7">
        <v>22.267168833543728</v>
      </c>
      <c r="Q216" s="3">
        <v>26429.999999999836</v>
      </c>
      <c r="R216" s="3">
        <v>5860.0000000001273</v>
      </c>
      <c r="S216" s="3">
        <v>89.200000000000728</v>
      </c>
      <c r="T216" s="3">
        <f t="shared" si="50"/>
        <v>32379.199999999964</v>
      </c>
      <c r="U216" s="6">
        <f t="shared" si="51"/>
        <v>0.11082932033070093</v>
      </c>
      <c r="V216" s="6">
        <f t="shared" si="52"/>
        <v>2.4572826982138689E-2</v>
      </c>
      <c r="W216" s="6">
        <f t="shared" si="53"/>
        <v>3.7404371447214015E-4</v>
      </c>
      <c r="X216" s="6">
        <f t="shared" si="54"/>
        <v>0.13577619102731175</v>
      </c>
      <c r="Y216" s="6">
        <f t="shared" si="55"/>
        <v>0.15182684372421021</v>
      </c>
    </row>
    <row r="217" spans="1:25" x14ac:dyDescent="0.35">
      <c r="A217" s="2">
        <v>45262</v>
      </c>
      <c r="B217" s="3">
        <v>213584</v>
      </c>
      <c r="C217" s="3">
        <v>28458</v>
      </c>
      <c r="D217" s="3">
        <f t="shared" si="45"/>
        <v>242042</v>
      </c>
      <c r="E217" s="4">
        <f t="shared" si="46"/>
        <v>2472.037037037037</v>
      </c>
      <c r="F217" s="4">
        <f t="shared" si="46"/>
        <v>329.375</v>
      </c>
      <c r="G217" s="4">
        <f t="shared" si="47"/>
        <v>2801.412037037037</v>
      </c>
      <c r="H217" s="3">
        <v>161258</v>
      </c>
      <c r="I217" s="3">
        <v>66311</v>
      </c>
      <c r="J217" s="4">
        <f t="shared" si="42"/>
        <v>227569</v>
      </c>
      <c r="K217" s="4">
        <f t="shared" si="48"/>
        <v>1866.412037037037</v>
      </c>
      <c r="L217" s="4">
        <f t="shared" si="49"/>
        <v>767.48842592592587</v>
      </c>
      <c r="M217" s="4">
        <f t="shared" si="43"/>
        <v>2633.9004629629626</v>
      </c>
      <c r="N217" s="5">
        <f t="shared" si="44"/>
        <v>5.9795407408631561E-2</v>
      </c>
      <c r="O217" s="7">
        <v>51.149138091267091</v>
      </c>
      <c r="P217" s="7">
        <v>19.693640942007882</v>
      </c>
      <c r="Q217" s="3">
        <v>26309.999999998581</v>
      </c>
      <c r="R217" s="3">
        <v>7299.9999999992724</v>
      </c>
      <c r="S217" s="3">
        <v>124.79999999999791</v>
      </c>
      <c r="T217" s="3">
        <f t="shared" si="50"/>
        <v>33734.799999997849</v>
      </c>
      <c r="U217" s="6">
        <f t="shared" si="51"/>
        <v>0.10870014295039118</v>
      </c>
      <c r="V217" s="6">
        <f t="shared" si="52"/>
        <v>3.0160054866507763E-2</v>
      </c>
      <c r="W217" s="6">
        <f t="shared" si="53"/>
        <v>5.1561299278636726E-4</v>
      </c>
      <c r="X217" s="6">
        <f t="shared" si="54"/>
        <v>0.13937581080968531</v>
      </c>
      <c r="Y217" s="6">
        <f t="shared" si="55"/>
        <v>0.15794628811145894</v>
      </c>
    </row>
    <row r="218" spans="1:25" x14ac:dyDescent="0.35">
      <c r="A218" s="2">
        <v>45263</v>
      </c>
      <c r="B218" s="3">
        <v>213387</v>
      </c>
      <c r="C218" s="3">
        <v>27759.600000000002</v>
      </c>
      <c r="D218" s="3">
        <f t="shared" si="45"/>
        <v>241146.6</v>
      </c>
      <c r="E218" s="4">
        <f t="shared" si="46"/>
        <v>2469.7569444444443</v>
      </c>
      <c r="F218" s="4">
        <f t="shared" si="46"/>
        <v>321.29166666666669</v>
      </c>
      <c r="G218" s="4">
        <f t="shared" si="47"/>
        <v>2791.0486111111109</v>
      </c>
      <c r="H218" s="3">
        <v>160904</v>
      </c>
      <c r="I218" s="3">
        <v>66259</v>
      </c>
      <c r="J218" s="4">
        <f t="shared" si="42"/>
        <v>227163</v>
      </c>
      <c r="K218" s="4">
        <f t="shared" si="48"/>
        <v>1862.3148148148148</v>
      </c>
      <c r="L218" s="4">
        <f t="shared" si="49"/>
        <v>766.88657407407402</v>
      </c>
      <c r="M218" s="4">
        <f t="shared" si="43"/>
        <v>2629.2013888888887</v>
      </c>
      <c r="N218" s="5">
        <f t="shared" si="44"/>
        <v>5.7987962509112735E-2</v>
      </c>
      <c r="O218" s="7">
        <v>50.397320963397341</v>
      </c>
      <c r="P218" s="7">
        <v>20.846659822929027</v>
      </c>
      <c r="Q218" s="3">
        <v>25500.000000001364</v>
      </c>
      <c r="R218" s="3">
        <v>5819.9999999992542</v>
      </c>
      <c r="S218" s="3">
        <v>120.40000000000191</v>
      </c>
      <c r="T218" s="3">
        <f t="shared" si="50"/>
        <v>31440.40000000062</v>
      </c>
      <c r="U218" s="6">
        <f t="shared" si="51"/>
        <v>0.10574480419794997</v>
      </c>
      <c r="V218" s="6">
        <f t="shared" si="52"/>
        <v>2.4134696487527727E-2</v>
      </c>
      <c r="W218" s="6">
        <f t="shared" si="53"/>
        <v>4.992813500169685E-4</v>
      </c>
      <c r="X218" s="6">
        <f t="shared" si="54"/>
        <v>0.13037878203549466</v>
      </c>
      <c r="Y218" s="6">
        <f t="shared" si="55"/>
        <v>0.14733980982909278</v>
      </c>
    </row>
    <row r="219" spans="1:25" x14ac:dyDescent="0.35">
      <c r="A219" s="2">
        <v>45264</v>
      </c>
      <c r="B219" s="3">
        <v>213512</v>
      </c>
      <c r="C219" s="3">
        <v>33264</v>
      </c>
      <c r="D219" s="3">
        <f t="shared" si="45"/>
        <v>246776</v>
      </c>
      <c r="E219" s="4">
        <f t="shared" si="46"/>
        <v>2471.2037037037035</v>
      </c>
      <c r="F219" s="4">
        <f t="shared" si="46"/>
        <v>385</v>
      </c>
      <c r="G219" s="4">
        <f t="shared" si="47"/>
        <v>2856.2037037037035</v>
      </c>
      <c r="H219" s="3">
        <v>160155</v>
      </c>
      <c r="I219" s="3">
        <v>70462</v>
      </c>
      <c r="J219" s="4">
        <f t="shared" si="42"/>
        <v>230617</v>
      </c>
      <c r="K219" s="4">
        <f t="shared" si="48"/>
        <v>1853.6458333333333</v>
      </c>
      <c r="L219" s="4">
        <f t="shared" si="49"/>
        <v>815.53240740740739</v>
      </c>
      <c r="M219" s="4">
        <f t="shared" si="43"/>
        <v>2669.1782407407409</v>
      </c>
      <c r="N219" s="5">
        <f t="shared" si="44"/>
        <v>6.548043569877135E-2</v>
      </c>
      <c r="O219" s="7">
        <v>51.399095349227458</v>
      </c>
      <c r="P219" s="7">
        <v>20.072884675043895</v>
      </c>
      <c r="Q219" s="3">
        <v>26009.999999998854</v>
      </c>
      <c r="R219" s="3">
        <v>6660.0000000016735</v>
      </c>
      <c r="S219" s="3">
        <v>113.20000000000164</v>
      </c>
      <c r="T219" s="3">
        <f t="shared" si="50"/>
        <v>32783.200000000528</v>
      </c>
      <c r="U219" s="6">
        <f t="shared" si="51"/>
        <v>0.10539922845008774</v>
      </c>
      <c r="V219" s="6">
        <f t="shared" si="52"/>
        <v>2.6988037734632514E-2</v>
      </c>
      <c r="W219" s="6">
        <f t="shared" si="53"/>
        <v>4.5871559633028187E-4</v>
      </c>
      <c r="X219" s="6">
        <f t="shared" si="54"/>
        <v>0.13284598178105053</v>
      </c>
      <c r="Y219" s="6">
        <f t="shared" si="55"/>
        <v>0.15354265802390746</v>
      </c>
    </row>
    <row r="220" spans="1:25" x14ac:dyDescent="0.35">
      <c r="A220" s="2">
        <v>45265</v>
      </c>
      <c r="B220" s="3">
        <v>211441</v>
      </c>
      <c r="C220" s="3">
        <v>32000.400000000001</v>
      </c>
      <c r="D220" s="3">
        <f t="shared" si="45"/>
        <v>243441.4</v>
      </c>
      <c r="E220" s="4">
        <f t="shared" si="46"/>
        <v>2447.2337962962961</v>
      </c>
      <c r="F220" s="4">
        <f t="shared" si="46"/>
        <v>370.375</v>
      </c>
      <c r="G220" s="4">
        <f t="shared" si="47"/>
        <v>2817.6087962962961</v>
      </c>
      <c r="H220" s="3">
        <v>159892</v>
      </c>
      <c r="I220" s="3">
        <v>71775</v>
      </c>
      <c r="J220" s="4">
        <f t="shared" si="42"/>
        <v>231667</v>
      </c>
      <c r="K220" s="4">
        <f t="shared" si="48"/>
        <v>1850.6018518518517</v>
      </c>
      <c r="L220" s="4">
        <f t="shared" si="49"/>
        <v>830.72916666666663</v>
      </c>
      <c r="M220" s="4">
        <f t="shared" si="43"/>
        <v>2681.3310185185182</v>
      </c>
      <c r="N220" s="5">
        <f t="shared" si="44"/>
        <v>4.8366465194498533E-2</v>
      </c>
      <c r="O220" s="7">
        <v>50.054879199878265</v>
      </c>
      <c r="P220" s="7">
        <v>19.487415210257176</v>
      </c>
      <c r="Q220" s="3">
        <v>25950.000000001637</v>
      </c>
      <c r="R220" s="3">
        <v>7519.9999999981628</v>
      </c>
      <c r="S220" s="3">
        <v>116.79999999999836</v>
      </c>
      <c r="T220" s="3">
        <f t="shared" si="50"/>
        <v>33586.799999999792</v>
      </c>
      <c r="U220" s="6">
        <f t="shared" si="51"/>
        <v>0.10659649509081709</v>
      </c>
      <c r="V220" s="6">
        <f t="shared" si="52"/>
        <v>3.0890390870238846E-2</v>
      </c>
      <c r="W220" s="6">
        <f t="shared" si="53"/>
        <v>4.7978692202722449E-4</v>
      </c>
      <c r="X220" s="6">
        <f t="shared" si="54"/>
        <v>0.13796667288308312</v>
      </c>
      <c r="Y220" s="6">
        <f t="shared" si="55"/>
        <v>0.15884714885003284</v>
      </c>
    </row>
    <row r="221" spans="1:25" x14ac:dyDescent="0.35">
      <c r="A221" s="2">
        <v>45266</v>
      </c>
      <c r="B221" s="3">
        <v>213767</v>
      </c>
      <c r="C221" s="3">
        <v>27154.799999999996</v>
      </c>
      <c r="D221" s="3">
        <f t="shared" si="45"/>
        <v>240921.8</v>
      </c>
      <c r="E221" s="4">
        <f t="shared" si="46"/>
        <v>2474.1550925925926</v>
      </c>
      <c r="F221" s="4">
        <f t="shared" si="46"/>
        <v>314.29166666666657</v>
      </c>
      <c r="G221" s="4">
        <f t="shared" si="47"/>
        <v>2788.4467592592591</v>
      </c>
      <c r="H221" s="3">
        <v>158947</v>
      </c>
      <c r="I221" s="3">
        <v>71263</v>
      </c>
      <c r="J221" s="4">
        <f t="shared" si="42"/>
        <v>230210</v>
      </c>
      <c r="K221" s="4">
        <f t="shared" si="48"/>
        <v>1839.6643518518517</v>
      </c>
      <c r="L221" s="4">
        <f t="shared" si="49"/>
        <v>824.80324074074065</v>
      </c>
      <c r="M221" s="4">
        <f t="shared" si="43"/>
        <v>2664.4675925925922</v>
      </c>
      <c r="N221" s="5">
        <f t="shared" si="44"/>
        <v>4.44617299057204E-2</v>
      </c>
      <c r="O221" s="7">
        <v>51.324623741144094</v>
      </c>
      <c r="P221" s="7">
        <v>19.879200805425842</v>
      </c>
      <c r="Q221" s="3">
        <v>25470.000000000709</v>
      </c>
      <c r="R221" s="3">
        <v>6760.0000000002183</v>
      </c>
      <c r="S221" s="3">
        <v>106.80000000000064</v>
      </c>
      <c r="T221" s="3">
        <f t="shared" si="50"/>
        <v>32336.800000000927</v>
      </c>
      <c r="U221" s="6">
        <f t="shared" si="51"/>
        <v>0.10571895112854342</v>
      </c>
      <c r="V221" s="6">
        <f t="shared" si="52"/>
        <v>2.805889711931514E-2</v>
      </c>
      <c r="W221" s="6">
        <f t="shared" si="53"/>
        <v>4.4329736868976009E-4</v>
      </c>
      <c r="X221" s="6">
        <f t="shared" si="54"/>
        <v>0.1342211456165483</v>
      </c>
      <c r="Y221" s="6">
        <f t="shared" si="55"/>
        <v>0.15127124392446414</v>
      </c>
    </row>
    <row r="222" spans="1:25" x14ac:dyDescent="0.35">
      <c r="A222" s="2">
        <v>45267</v>
      </c>
      <c r="B222" s="3">
        <v>213691</v>
      </c>
      <c r="C222" s="3">
        <v>21420</v>
      </c>
      <c r="D222" s="3">
        <f t="shared" si="45"/>
        <v>235111</v>
      </c>
      <c r="E222" s="4">
        <f t="shared" si="46"/>
        <v>2473.2754629629626</v>
      </c>
      <c r="F222" s="4">
        <f t="shared" si="46"/>
        <v>247.91666666666666</v>
      </c>
      <c r="G222" s="4">
        <f t="shared" si="47"/>
        <v>2721.1921296296291</v>
      </c>
      <c r="H222" s="3">
        <v>152710</v>
      </c>
      <c r="I222" s="3">
        <v>68881</v>
      </c>
      <c r="J222" s="4">
        <f t="shared" si="42"/>
        <v>221591</v>
      </c>
      <c r="K222" s="4">
        <f t="shared" si="48"/>
        <v>1767.4768518518517</v>
      </c>
      <c r="L222" s="4">
        <f t="shared" si="49"/>
        <v>797.23379629629619</v>
      </c>
      <c r="M222" s="4">
        <f t="shared" si="43"/>
        <v>2564.7106481481478</v>
      </c>
      <c r="N222" s="5">
        <f t="shared" si="44"/>
        <v>5.7504753074079901E-2</v>
      </c>
      <c r="O222" s="7">
        <v>55.226951673173204</v>
      </c>
      <c r="P222" s="7">
        <v>20.466832433717748</v>
      </c>
      <c r="Q222" s="3">
        <v>24299.999999999727</v>
      </c>
      <c r="R222" s="3">
        <v>6300.0000000006366</v>
      </c>
      <c r="S222" s="3">
        <v>80.799999999996999</v>
      </c>
      <c r="T222" s="3">
        <f t="shared" si="50"/>
        <v>30680.800000000359</v>
      </c>
      <c r="U222" s="6">
        <f t="shared" si="51"/>
        <v>0.10335543636835251</v>
      </c>
      <c r="V222" s="6">
        <f t="shared" si="52"/>
        <v>2.6795853873279585E-2</v>
      </c>
      <c r="W222" s="6">
        <f t="shared" si="53"/>
        <v>3.4366745920010971E-4</v>
      </c>
      <c r="X222" s="6">
        <f t="shared" si="54"/>
        <v>0.13049495770083219</v>
      </c>
      <c r="Y222" s="6">
        <f t="shared" si="55"/>
        <v>0.14357553663935477</v>
      </c>
    </row>
    <row r="223" spans="1:25" x14ac:dyDescent="0.35">
      <c r="A223" s="2">
        <v>45268</v>
      </c>
      <c r="B223" s="3">
        <v>213328</v>
      </c>
      <c r="C223" s="3">
        <v>19655.999999999996</v>
      </c>
      <c r="D223" s="3">
        <f t="shared" si="45"/>
        <v>232984</v>
      </c>
      <c r="E223" s="4">
        <f t="shared" si="46"/>
        <v>2469.0740740740739</v>
      </c>
      <c r="F223" s="4">
        <f t="shared" si="46"/>
        <v>227.49999999999994</v>
      </c>
      <c r="G223" s="4">
        <f t="shared" si="47"/>
        <v>2696.5740740740739</v>
      </c>
      <c r="H223" s="3">
        <v>148370</v>
      </c>
      <c r="I223" s="3">
        <v>70569</v>
      </c>
      <c r="J223" s="4">
        <f t="shared" si="42"/>
        <v>218939</v>
      </c>
      <c r="K223" s="4">
        <f t="shared" si="48"/>
        <v>1717.2453703703702</v>
      </c>
      <c r="L223" s="4">
        <f t="shared" si="49"/>
        <v>816.77083333333326</v>
      </c>
      <c r="M223" s="4">
        <f t="shared" si="43"/>
        <v>2534.0162037037035</v>
      </c>
      <c r="N223" s="5">
        <f t="shared" si="44"/>
        <v>6.0283109569755862E-2</v>
      </c>
      <c r="O223" s="7">
        <v>51.511774719615417</v>
      </c>
      <c r="P223" s="7">
        <v>18.41822462822719</v>
      </c>
      <c r="Q223" s="3">
        <v>22529.999999997926</v>
      </c>
      <c r="R223" s="3">
        <v>6599.9999999999091</v>
      </c>
      <c r="S223" s="3">
        <v>83.600000000003547</v>
      </c>
      <c r="T223" s="3">
        <f t="shared" si="50"/>
        <v>29213.599999997838</v>
      </c>
      <c r="U223" s="6">
        <f t="shared" si="51"/>
        <v>9.6701919445103215E-2</v>
      </c>
      <c r="V223" s="6">
        <f t="shared" si="52"/>
        <v>2.8328125536517139E-2</v>
      </c>
      <c r="W223" s="6">
        <f t="shared" si="53"/>
        <v>3.5882292346257059E-4</v>
      </c>
      <c r="X223" s="6">
        <f t="shared" si="54"/>
        <v>0.12538886790508291</v>
      </c>
      <c r="Y223" s="6">
        <f t="shared" si="55"/>
        <v>0.13694217355432872</v>
      </c>
    </row>
    <row r="224" spans="1:25" x14ac:dyDescent="0.35">
      <c r="A224" s="2">
        <v>45269</v>
      </c>
      <c r="B224" s="3">
        <v>212944</v>
      </c>
      <c r="C224" s="3">
        <v>16884</v>
      </c>
      <c r="D224" s="3">
        <f t="shared" si="45"/>
        <v>229828</v>
      </c>
      <c r="E224" s="4">
        <f t="shared" si="46"/>
        <v>2464.6296296296296</v>
      </c>
      <c r="F224" s="4">
        <f t="shared" si="46"/>
        <v>195.41666666666666</v>
      </c>
      <c r="G224" s="4">
        <f t="shared" si="47"/>
        <v>2660.0462962962961</v>
      </c>
      <c r="H224" s="3">
        <v>146573</v>
      </c>
      <c r="I224" s="3">
        <v>68430</v>
      </c>
      <c r="J224" s="4">
        <f t="shared" si="42"/>
        <v>215003</v>
      </c>
      <c r="K224" s="4">
        <f t="shared" si="48"/>
        <v>1696.4467592592591</v>
      </c>
      <c r="L224" s="4">
        <f t="shared" si="49"/>
        <v>792.0138888888888</v>
      </c>
      <c r="M224" s="4">
        <f t="shared" si="43"/>
        <v>2488.4606481481478</v>
      </c>
      <c r="N224" s="5">
        <f t="shared" si="44"/>
        <v>6.4504760081452214E-2</v>
      </c>
      <c r="O224" s="7">
        <v>52.904964802377236</v>
      </c>
      <c r="P224" s="7">
        <v>19.853485403923518</v>
      </c>
      <c r="Q224" s="3">
        <v>22050.000000001091</v>
      </c>
      <c r="R224" s="3">
        <v>6099.9999999999091</v>
      </c>
      <c r="S224" s="3">
        <v>117.60000000000446</v>
      </c>
      <c r="T224" s="3">
        <f t="shared" si="50"/>
        <v>28267.600000001006</v>
      </c>
      <c r="U224" s="6">
        <f t="shared" si="51"/>
        <v>9.5941312633800457E-2</v>
      </c>
      <c r="V224" s="6">
        <f t="shared" si="52"/>
        <v>2.6541587622047398E-2</v>
      </c>
      <c r="W224" s="6">
        <f t="shared" si="53"/>
        <v>5.1168700071359654E-4</v>
      </c>
      <c r="X224" s="6">
        <f t="shared" si="54"/>
        <v>0.12299458725656146</v>
      </c>
      <c r="Y224" s="6">
        <f t="shared" si="55"/>
        <v>0.13274663761364963</v>
      </c>
    </row>
    <row r="225" spans="1:25" x14ac:dyDescent="0.35">
      <c r="A225" s="2">
        <v>45270</v>
      </c>
      <c r="B225" s="3">
        <v>214391</v>
      </c>
      <c r="C225" s="3">
        <v>11822.4</v>
      </c>
      <c r="D225" s="3">
        <f t="shared" si="45"/>
        <v>226213.4</v>
      </c>
      <c r="E225" s="4">
        <f t="shared" si="46"/>
        <v>2481.3773148148148</v>
      </c>
      <c r="F225" s="4">
        <f t="shared" si="46"/>
        <v>136.83333333333331</v>
      </c>
      <c r="G225" s="4">
        <f t="shared" si="47"/>
        <v>2618.2106481481483</v>
      </c>
      <c r="H225" s="3">
        <v>146572</v>
      </c>
      <c r="I225" s="3">
        <v>67431</v>
      </c>
      <c r="J225" s="4">
        <f t="shared" si="42"/>
        <v>214003</v>
      </c>
      <c r="K225" s="4">
        <f t="shared" si="48"/>
        <v>1696.435185185185</v>
      </c>
      <c r="L225" s="4">
        <f t="shared" si="49"/>
        <v>780.4513888888888</v>
      </c>
      <c r="M225" s="4">
        <f t="shared" si="43"/>
        <v>2476.8865740740739</v>
      </c>
      <c r="N225" s="5">
        <f t="shared" si="44"/>
        <v>5.39773505901949E-2</v>
      </c>
      <c r="O225" s="7">
        <v>51.563584855805011</v>
      </c>
      <c r="P225" s="7">
        <v>20.796361275051577</v>
      </c>
      <c r="Q225" s="3">
        <v>21660.000000000764</v>
      </c>
      <c r="R225" s="3">
        <v>4599.9999999994543</v>
      </c>
      <c r="S225" s="3">
        <v>128.39999999999918</v>
      </c>
      <c r="T225" s="3">
        <f t="shared" si="50"/>
        <v>26388.400000000216</v>
      </c>
      <c r="U225" s="6">
        <f t="shared" si="51"/>
        <v>9.5750295959482354E-2</v>
      </c>
      <c r="V225" s="6">
        <f t="shared" si="52"/>
        <v>2.0334781228695798E-2</v>
      </c>
      <c r="W225" s="6">
        <f t="shared" si="53"/>
        <v>5.6760563255757251E-4</v>
      </c>
      <c r="X225" s="6">
        <f t="shared" si="54"/>
        <v>0.11665268282073571</v>
      </c>
      <c r="Y225" s="6">
        <f t="shared" si="55"/>
        <v>0.12308539071136483</v>
      </c>
    </row>
    <row r="226" spans="1:25" x14ac:dyDescent="0.35">
      <c r="A226" s="2">
        <v>45271</v>
      </c>
      <c r="B226" s="3">
        <v>214447</v>
      </c>
      <c r="C226" s="3">
        <v>14212.800000000001</v>
      </c>
      <c r="D226" s="3">
        <f t="shared" si="45"/>
        <v>228659.8</v>
      </c>
      <c r="E226" s="4">
        <f t="shared" si="46"/>
        <v>2482.0254629629626</v>
      </c>
      <c r="F226" s="4">
        <f t="shared" si="46"/>
        <v>164.5</v>
      </c>
      <c r="G226" s="4">
        <f t="shared" si="47"/>
        <v>2646.5254629629626</v>
      </c>
      <c r="H226" s="3">
        <v>148822</v>
      </c>
      <c r="I226" s="3">
        <v>70312</v>
      </c>
      <c r="J226" s="4">
        <f t="shared" si="42"/>
        <v>219134</v>
      </c>
      <c r="K226" s="4">
        <f t="shared" si="48"/>
        <v>1722.4768518518517</v>
      </c>
      <c r="L226" s="4">
        <f t="shared" si="49"/>
        <v>813.79629629629619</v>
      </c>
      <c r="M226" s="4">
        <f t="shared" si="43"/>
        <v>2536.2731481481478</v>
      </c>
      <c r="N226" s="5">
        <f t="shared" si="44"/>
        <v>4.1659268485321817E-2</v>
      </c>
      <c r="O226" s="7">
        <v>50.249275979434074</v>
      </c>
      <c r="P226" s="7">
        <v>20.747169555673107</v>
      </c>
      <c r="Q226" s="3">
        <v>23609.999999999673</v>
      </c>
      <c r="R226" s="3">
        <v>5540.0000000013279</v>
      </c>
      <c r="S226" s="3">
        <v>85.999999999994543</v>
      </c>
      <c r="T226" s="3">
        <f t="shared" si="50"/>
        <v>29236.000000000997</v>
      </c>
      <c r="U226" s="6">
        <f t="shared" si="51"/>
        <v>0.1032538294881727</v>
      </c>
      <c r="V226" s="6">
        <f t="shared" si="52"/>
        <v>2.4228132798162719E-2</v>
      </c>
      <c r="W226" s="6">
        <f t="shared" si="53"/>
        <v>3.7610458856342281E-4</v>
      </c>
      <c r="X226" s="6">
        <f t="shared" si="54"/>
        <v>0.12785806687489887</v>
      </c>
      <c r="Y226" s="6">
        <f t="shared" si="55"/>
        <v>0.13633205407397164</v>
      </c>
    </row>
    <row r="227" spans="1:25" x14ac:dyDescent="0.35">
      <c r="A227" s="2">
        <v>45272</v>
      </c>
      <c r="B227" s="3">
        <v>214537</v>
      </c>
      <c r="C227" s="3">
        <v>18799.199999999997</v>
      </c>
      <c r="D227" s="3">
        <f t="shared" si="45"/>
        <v>233336.2</v>
      </c>
      <c r="E227" s="4">
        <f t="shared" si="46"/>
        <v>2483.0671296296296</v>
      </c>
      <c r="F227" s="4">
        <f t="shared" si="46"/>
        <v>217.58333333333329</v>
      </c>
      <c r="G227" s="4">
        <f t="shared" si="47"/>
        <v>2700.650462962963</v>
      </c>
      <c r="H227" s="3">
        <v>150639</v>
      </c>
      <c r="I227" s="3">
        <v>70405</v>
      </c>
      <c r="J227" s="4">
        <f t="shared" si="42"/>
        <v>221044</v>
      </c>
      <c r="K227" s="4">
        <f t="shared" si="48"/>
        <v>1743.5069444444443</v>
      </c>
      <c r="L227" s="4">
        <f t="shared" si="49"/>
        <v>814.87268518518511</v>
      </c>
      <c r="M227" s="4">
        <f t="shared" si="43"/>
        <v>2558.3796296296296</v>
      </c>
      <c r="N227" s="5">
        <f t="shared" si="44"/>
        <v>5.2680209928849496E-2</v>
      </c>
      <c r="O227" s="7">
        <v>49.709182953950993</v>
      </c>
      <c r="P227" s="7">
        <v>21.520192699316027</v>
      </c>
      <c r="Q227" s="3">
        <v>23969.999999999345</v>
      </c>
      <c r="R227" s="3">
        <v>5899.9999999987267</v>
      </c>
      <c r="S227" s="3">
        <v>126.80000000000064</v>
      </c>
      <c r="T227" s="3">
        <f t="shared" si="50"/>
        <v>29996.799999998071</v>
      </c>
      <c r="U227" s="6">
        <f t="shared" si="51"/>
        <v>0.1027273093501966</v>
      </c>
      <c r="V227" s="6">
        <f t="shared" si="52"/>
        <v>2.528540363646415E-2</v>
      </c>
      <c r="W227" s="6">
        <f t="shared" si="53"/>
        <v>5.4342189510243433E-4</v>
      </c>
      <c r="X227" s="6">
        <f t="shared" si="54"/>
        <v>0.12855613488176318</v>
      </c>
      <c r="Y227" s="6">
        <f t="shared" si="55"/>
        <v>0.13982110311973259</v>
      </c>
    </row>
    <row r="228" spans="1:25" x14ac:dyDescent="0.35">
      <c r="A228" s="2">
        <v>45273</v>
      </c>
      <c r="B228" s="3">
        <v>214190</v>
      </c>
      <c r="C228" s="3">
        <v>22653</v>
      </c>
      <c r="D228" s="3">
        <f t="shared" si="45"/>
        <v>236843</v>
      </c>
      <c r="E228" s="4">
        <f t="shared" si="46"/>
        <v>2479.0509259259256</v>
      </c>
      <c r="F228" s="4">
        <f t="shared" si="46"/>
        <v>262.1875</v>
      </c>
      <c r="G228" s="4">
        <f t="shared" si="47"/>
        <v>2741.2384259259256</v>
      </c>
      <c r="H228" s="3">
        <v>150248</v>
      </c>
      <c r="I228" s="3">
        <v>71392</v>
      </c>
      <c r="J228" s="4">
        <f t="shared" si="42"/>
        <v>221640</v>
      </c>
      <c r="K228" s="4">
        <f t="shared" si="48"/>
        <v>1738.9814814814813</v>
      </c>
      <c r="L228" s="4">
        <f t="shared" si="49"/>
        <v>826.29629629629619</v>
      </c>
      <c r="M228" s="4">
        <f t="shared" si="43"/>
        <v>2565.2777777777774</v>
      </c>
      <c r="N228" s="5">
        <f t="shared" si="44"/>
        <v>6.4190201948125969E-2</v>
      </c>
      <c r="O228" s="7">
        <v>50.324176579574967</v>
      </c>
      <c r="P228" s="7">
        <v>19.863013015616893</v>
      </c>
      <c r="Q228" s="3">
        <v>23309.999999999945</v>
      </c>
      <c r="R228" s="3">
        <v>6780.0000000006548</v>
      </c>
      <c r="S228" s="3">
        <v>116.80000000000291</v>
      </c>
      <c r="T228" s="3">
        <f t="shared" si="50"/>
        <v>30206.800000000603</v>
      </c>
      <c r="U228" s="6">
        <f t="shared" si="51"/>
        <v>9.8419628192515485E-2</v>
      </c>
      <c r="V228" s="6">
        <f t="shared" si="52"/>
        <v>2.8626558521892793E-2</v>
      </c>
      <c r="W228" s="6">
        <f t="shared" si="53"/>
        <v>4.931536925305072E-4</v>
      </c>
      <c r="X228" s="6">
        <f t="shared" si="54"/>
        <v>0.12753934040693879</v>
      </c>
      <c r="Y228" s="6">
        <f t="shared" si="55"/>
        <v>0.1410280591997787</v>
      </c>
    </row>
    <row r="229" spans="1:25" x14ac:dyDescent="0.35">
      <c r="A229" s="2">
        <v>45274</v>
      </c>
      <c r="B229" s="3">
        <v>213426</v>
      </c>
      <c r="C229" s="3">
        <v>16200.900000000001</v>
      </c>
      <c r="D229" s="3">
        <f t="shared" si="45"/>
        <v>229626.9</v>
      </c>
      <c r="E229" s="4">
        <f t="shared" si="46"/>
        <v>2470.208333333333</v>
      </c>
      <c r="F229" s="4">
        <f t="shared" si="46"/>
        <v>187.51041666666666</v>
      </c>
      <c r="G229" s="4">
        <f t="shared" si="47"/>
        <v>2657.7187499999995</v>
      </c>
      <c r="H229" s="3">
        <v>147691</v>
      </c>
      <c r="I229" s="3">
        <v>69880</v>
      </c>
      <c r="J229" s="4">
        <f t="shared" si="42"/>
        <v>217571</v>
      </c>
      <c r="K229" s="4">
        <f t="shared" si="48"/>
        <v>1709.3865740740739</v>
      </c>
      <c r="L229" s="4">
        <f t="shared" si="49"/>
        <v>808.79629629629619</v>
      </c>
      <c r="M229" s="4">
        <f t="shared" si="43"/>
        <v>2518.18287037037</v>
      </c>
      <c r="N229" s="5">
        <f t="shared" si="44"/>
        <v>5.2502124097829977E-2</v>
      </c>
      <c r="O229" s="7">
        <v>40.172571921805577</v>
      </c>
      <c r="P229" s="7">
        <v>21.194658354189819</v>
      </c>
      <c r="Q229" s="3">
        <v>23100.000000000819</v>
      </c>
      <c r="R229" s="3">
        <v>5199.9999999998181</v>
      </c>
      <c r="S229" s="3">
        <v>124.79999999999791</v>
      </c>
      <c r="T229" s="3">
        <f t="shared" si="50"/>
        <v>28424.800000000636</v>
      </c>
      <c r="U229" s="6">
        <f t="shared" si="51"/>
        <v>0.10059797001135677</v>
      </c>
      <c r="V229" s="6">
        <f t="shared" si="52"/>
        <v>2.2645430478745385E-2</v>
      </c>
      <c r="W229" s="6">
        <f t="shared" si="53"/>
        <v>5.434903314898991E-4</v>
      </c>
      <c r="X229" s="6">
        <f t="shared" si="54"/>
        <v>0.12378689082159205</v>
      </c>
      <c r="Y229" s="6">
        <f t="shared" si="55"/>
        <v>0.13318339846129634</v>
      </c>
    </row>
    <row r="230" spans="1:25" x14ac:dyDescent="0.35">
      <c r="A230" s="2">
        <v>45275</v>
      </c>
      <c r="B230" s="3">
        <v>213087</v>
      </c>
      <c r="C230" s="3">
        <v>23983.199999999997</v>
      </c>
      <c r="D230" s="3">
        <f t="shared" si="45"/>
        <v>237070.2</v>
      </c>
      <c r="E230" s="4">
        <f t="shared" si="46"/>
        <v>2466.2847222222222</v>
      </c>
      <c r="F230" s="4">
        <f t="shared" si="46"/>
        <v>277.58333333333326</v>
      </c>
      <c r="G230" s="4">
        <f t="shared" si="47"/>
        <v>2743.8680555555557</v>
      </c>
      <c r="H230" s="3">
        <v>152564</v>
      </c>
      <c r="I230" s="3">
        <v>71297</v>
      </c>
      <c r="J230" s="4">
        <f t="shared" si="42"/>
        <v>223861</v>
      </c>
      <c r="K230" s="4">
        <f t="shared" si="48"/>
        <v>1765.787037037037</v>
      </c>
      <c r="L230" s="4">
        <f t="shared" si="49"/>
        <v>825.19675925925924</v>
      </c>
      <c r="M230" s="4">
        <f t="shared" si="43"/>
        <v>2590.9837962962961</v>
      </c>
      <c r="N230" s="5">
        <f t="shared" si="44"/>
        <v>5.5718517131212661E-2</v>
      </c>
      <c r="O230" s="7">
        <v>42.224232442161608</v>
      </c>
      <c r="P230" s="7">
        <v>20.074104663797094</v>
      </c>
      <c r="Q230" s="3">
        <v>24179.999999998472</v>
      </c>
      <c r="R230" s="3">
        <v>5860.0000000005821</v>
      </c>
      <c r="S230" s="3">
        <v>137.59999999999991</v>
      </c>
      <c r="T230" s="3">
        <f t="shared" si="50"/>
        <v>30177.599999999053</v>
      </c>
      <c r="U230" s="6">
        <f t="shared" si="51"/>
        <v>0.10199510524730004</v>
      </c>
      <c r="V230" s="6">
        <f t="shared" si="52"/>
        <v>2.4718416739010561E-2</v>
      </c>
      <c r="W230" s="6">
        <f t="shared" si="53"/>
        <v>5.8041879578285213E-4</v>
      </c>
      <c r="X230" s="6">
        <f t="shared" si="54"/>
        <v>0.12729394078209344</v>
      </c>
      <c r="Y230" s="6">
        <f t="shared" si="55"/>
        <v>0.14162102803079987</v>
      </c>
    </row>
    <row r="231" spans="1:25" x14ac:dyDescent="0.35">
      <c r="A231" s="2">
        <v>45276</v>
      </c>
      <c r="B231" s="3">
        <v>212885</v>
      </c>
      <c r="C231" s="3">
        <v>20134.8</v>
      </c>
      <c r="D231" s="3">
        <f t="shared" si="45"/>
        <v>233019.8</v>
      </c>
      <c r="E231" s="4">
        <f t="shared" si="46"/>
        <v>2463.9467592592591</v>
      </c>
      <c r="F231" s="4">
        <f t="shared" si="46"/>
        <v>233.04166666666663</v>
      </c>
      <c r="G231" s="4">
        <f t="shared" si="47"/>
        <v>2696.9884259259256</v>
      </c>
      <c r="H231" s="3">
        <v>151062</v>
      </c>
      <c r="I231" s="3">
        <v>66001</v>
      </c>
      <c r="J231" s="4">
        <f t="shared" si="42"/>
        <v>217063</v>
      </c>
      <c r="K231" s="4">
        <f t="shared" si="48"/>
        <v>1748.4027777777776</v>
      </c>
      <c r="L231" s="4">
        <f t="shared" si="49"/>
        <v>763.90046296296293</v>
      </c>
      <c r="M231" s="4">
        <f t="shared" si="43"/>
        <v>2512.3032407407404</v>
      </c>
      <c r="N231" s="5">
        <f t="shared" si="44"/>
        <v>6.8478300985581442E-2</v>
      </c>
      <c r="O231" s="7">
        <v>40.642771571062191</v>
      </c>
      <c r="P231" s="7">
        <v>21.379350330819936</v>
      </c>
      <c r="Q231" s="3">
        <v>22680.000000001201</v>
      </c>
      <c r="R231" s="3">
        <v>5419.9999999991633</v>
      </c>
      <c r="S231" s="3">
        <v>140.80000000000609</v>
      </c>
      <c r="T231" s="3">
        <f t="shared" si="50"/>
        <v>28240.80000000037</v>
      </c>
      <c r="U231" s="6">
        <f t="shared" si="51"/>
        <v>9.7330784765934916E-2</v>
      </c>
      <c r="V231" s="6">
        <f t="shared" si="52"/>
        <v>2.3259825989032534E-2</v>
      </c>
      <c r="W231" s="6">
        <f t="shared" si="53"/>
        <v>6.0424049801779121E-4</v>
      </c>
      <c r="X231" s="6">
        <f t="shared" si="54"/>
        <v>0.12119485125298525</v>
      </c>
      <c r="Y231" s="6">
        <f t="shared" si="55"/>
        <v>0.13265753810743064</v>
      </c>
    </row>
    <row r="232" spans="1:25" x14ac:dyDescent="0.35">
      <c r="A232" s="2">
        <v>45277</v>
      </c>
      <c r="B232" s="3">
        <v>213270</v>
      </c>
      <c r="C232" s="3">
        <v>16113.599999999999</v>
      </c>
      <c r="D232" s="3">
        <f t="shared" si="45"/>
        <v>229383.6</v>
      </c>
      <c r="E232" s="4">
        <f t="shared" si="46"/>
        <v>2468.4027777777778</v>
      </c>
      <c r="F232" s="4">
        <f t="shared" si="46"/>
        <v>186.49999999999997</v>
      </c>
      <c r="G232" s="4">
        <f t="shared" si="47"/>
        <v>2654.9027777777778</v>
      </c>
      <c r="H232" s="3">
        <v>151580</v>
      </c>
      <c r="I232" s="3">
        <v>66785</v>
      </c>
      <c r="J232" s="4">
        <f t="shared" si="42"/>
        <v>218365</v>
      </c>
      <c r="K232" s="4">
        <f t="shared" si="48"/>
        <v>1754.398148148148</v>
      </c>
      <c r="L232" s="4">
        <f t="shared" si="49"/>
        <v>772.97453703703695</v>
      </c>
      <c r="M232" s="4">
        <f t="shared" si="43"/>
        <v>2527.3726851851852</v>
      </c>
      <c r="N232" s="5">
        <f t="shared" si="44"/>
        <v>4.8035692176772907E-2</v>
      </c>
      <c r="O232" s="7">
        <v>31.743088449493325</v>
      </c>
      <c r="P232" s="7">
        <v>21.101260900835012</v>
      </c>
      <c r="Q232" s="3">
        <v>22890.000000000327</v>
      </c>
      <c r="R232" s="3">
        <v>4740.0000000006912</v>
      </c>
      <c r="S232" s="3">
        <v>133.19999999999254</v>
      </c>
      <c r="T232" s="3">
        <f t="shared" si="50"/>
        <v>27763.200000001012</v>
      </c>
      <c r="U232" s="6">
        <f t="shared" si="51"/>
        <v>9.9789174117069945E-2</v>
      </c>
      <c r="V232" s="6">
        <f t="shared" si="52"/>
        <v>2.0664075374179719E-2</v>
      </c>
      <c r="W232" s="6">
        <f t="shared" si="53"/>
        <v>5.8068667507176863E-4</v>
      </c>
      <c r="X232" s="6">
        <f t="shared" si="54"/>
        <v>0.12103393616632144</v>
      </c>
      <c r="Y232" s="6">
        <f t="shared" si="55"/>
        <v>0.13017864678576926</v>
      </c>
    </row>
    <row r="233" spans="1:25" x14ac:dyDescent="0.35">
      <c r="A233" s="2">
        <v>45278</v>
      </c>
      <c r="B233" s="3">
        <v>212447</v>
      </c>
      <c r="C233" s="3">
        <v>24170.400000000001</v>
      </c>
      <c r="D233" s="3">
        <f t="shared" si="45"/>
        <v>236617.4</v>
      </c>
      <c r="E233" s="4">
        <f t="shared" si="46"/>
        <v>2458.8773148148148</v>
      </c>
      <c r="F233" s="4">
        <f t="shared" si="46"/>
        <v>279.75</v>
      </c>
      <c r="G233" s="4">
        <f t="shared" si="47"/>
        <v>2738.6273148148148</v>
      </c>
      <c r="H233" s="3">
        <v>153527</v>
      </c>
      <c r="I233" s="3">
        <v>72512</v>
      </c>
      <c r="J233" s="4">
        <f t="shared" si="42"/>
        <v>226039</v>
      </c>
      <c r="K233" s="4">
        <f t="shared" si="48"/>
        <v>1776.9328703703702</v>
      </c>
      <c r="L233" s="4">
        <f t="shared" si="49"/>
        <v>839.25925925925924</v>
      </c>
      <c r="M233" s="4">
        <f t="shared" si="43"/>
        <v>2616.1921296296296</v>
      </c>
      <c r="N233" s="5">
        <f t="shared" si="44"/>
        <v>4.4706771353247875E-2</v>
      </c>
      <c r="O233" s="7">
        <v>28.466212232448665</v>
      </c>
      <c r="P233" s="7">
        <v>21.89167908091434</v>
      </c>
      <c r="Q233" s="3">
        <v>24089.999999999236</v>
      </c>
      <c r="R233" s="3">
        <v>5940.0000000005093</v>
      </c>
      <c r="S233" s="3">
        <v>152.40000000000464</v>
      </c>
      <c r="T233" s="3">
        <f t="shared" si="50"/>
        <v>30182.39999999975</v>
      </c>
      <c r="U233" s="6">
        <f t="shared" si="51"/>
        <v>0.10180992606629621</v>
      </c>
      <c r="V233" s="6">
        <f t="shared" si="52"/>
        <v>2.5103817386212972E-2</v>
      </c>
      <c r="W233" s="6">
        <f t="shared" si="53"/>
        <v>6.4407773899977192E-4</v>
      </c>
      <c r="X233" s="6">
        <f t="shared" si="54"/>
        <v>0.12755782119150896</v>
      </c>
      <c r="Y233" s="6">
        <f t="shared" si="55"/>
        <v>0.14207025752305164</v>
      </c>
    </row>
    <row r="234" spans="1:25" x14ac:dyDescent="0.35">
      <c r="A234" s="2">
        <v>45279</v>
      </c>
      <c r="B234" s="3">
        <v>212330</v>
      </c>
      <c r="C234" s="3">
        <v>22669.200000000001</v>
      </c>
      <c r="D234" s="3">
        <f t="shared" si="45"/>
        <v>234999.2</v>
      </c>
      <c r="E234" s="4">
        <f t="shared" si="46"/>
        <v>2457.5231481481478</v>
      </c>
      <c r="F234" s="4">
        <f t="shared" si="46"/>
        <v>262.375</v>
      </c>
      <c r="G234" s="4">
        <f t="shared" si="47"/>
        <v>2719.8981481481478</v>
      </c>
      <c r="H234" s="3">
        <v>153783</v>
      </c>
      <c r="I234" s="3">
        <v>70609</v>
      </c>
      <c r="J234" s="4">
        <f t="shared" si="42"/>
        <v>224392</v>
      </c>
      <c r="K234" s="4">
        <f t="shared" si="48"/>
        <v>1779.8958333333333</v>
      </c>
      <c r="L234" s="4">
        <f t="shared" si="49"/>
        <v>817.23379629629619</v>
      </c>
      <c r="M234" s="4">
        <f t="shared" si="43"/>
        <v>2597.1296296296296</v>
      </c>
      <c r="N234" s="5">
        <f t="shared" si="44"/>
        <v>4.5137174935063654E-2</v>
      </c>
      <c r="O234" s="7">
        <v>30.922007552533785</v>
      </c>
      <c r="P234" s="7">
        <v>22.283325581781842</v>
      </c>
      <c r="Q234" s="3">
        <v>24150.000000000546</v>
      </c>
      <c r="R234" s="3">
        <v>5979.9999999986539</v>
      </c>
      <c r="S234" s="3">
        <v>125.60000000000173</v>
      </c>
      <c r="T234" s="3">
        <f t="shared" si="50"/>
        <v>30255.599999999202</v>
      </c>
      <c r="U234" s="6">
        <f t="shared" si="51"/>
        <v>0.10276630728955904</v>
      </c>
      <c r="V234" s="6">
        <f t="shared" si="52"/>
        <v>2.5446895138360699E-2</v>
      </c>
      <c r="W234" s="6">
        <f t="shared" si="53"/>
        <v>5.3446990457840587E-4</v>
      </c>
      <c r="X234" s="6">
        <f t="shared" si="54"/>
        <v>0.12874767233249815</v>
      </c>
      <c r="Y234" s="6">
        <f t="shared" si="55"/>
        <v>0.14249328874864223</v>
      </c>
    </row>
    <row r="235" spans="1:25" x14ac:dyDescent="0.35">
      <c r="A235" s="2">
        <v>45280</v>
      </c>
      <c r="B235" s="3">
        <v>212356</v>
      </c>
      <c r="C235" s="3">
        <v>22827.599999999999</v>
      </c>
      <c r="D235" s="3">
        <f t="shared" si="45"/>
        <v>235183.6</v>
      </c>
      <c r="E235" s="4">
        <f t="shared" si="46"/>
        <v>2457.8240740740739</v>
      </c>
      <c r="F235" s="4">
        <f t="shared" si="46"/>
        <v>264.20833333333331</v>
      </c>
      <c r="G235" s="4">
        <f t="shared" si="47"/>
        <v>2722.0324074074074</v>
      </c>
      <c r="H235" s="3">
        <v>153113</v>
      </c>
      <c r="I235" s="3">
        <v>70925</v>
      </c>
      <c r="J235" s="4">
        <f t="shared" si="42"/>
        <v>224038</v>
      </c>
      <c r="K235" s="4">
        <f t="shared" si="48"/>
        <v>1772.1412037037037</v>
      </c>
      <c r="L235" s="4">
        <f t="shared" si="49"/>
        <v>820.8912037037037</v>
      </c>
      <c r="M235" s="4">
        <f t="shared" si="43"/>
        <v>2593.0324074074074</v>
      </c>
      <c r="N235" s="5">
        <f t="shared" si="44"/>
        <v>4.7391059580685069E-2</v>
      </c>
      <c r="O235" s="7">
        <v>31.949532921579557</v>
      </c>
      <c r="P235" s="7">
        <v>22.867633769119472</v>
      </c>
      <c r="Q235" s="3">
        <v>24239.999999999782</v>
      </c>
      <c r="R235" s="3">
        <v>6120.0000000012551</v>
      </c>
      <c r="S235" s="3">
        <v>158.79999999999654</v>
      </c>
      <c r="T235" s="3">
        <f t="shared" si="50"/>
        <v>30518.800000001032</v>
      </c>
      <c r="U235" s="6">
        <f t="shared" si="51"/>
        <v>0.10306841123275509</v>
      </c>
      <c r="V235" s="6">
        <f t="shared" si="52"/>
        <v>2.6022222637978393E-2</v>
      </c>
      <c r="W235" s="6">
        <f t="shared" si="53"/>
        <v>6.7521714949510313E-4</v>
      </c>
      <c r="X235" s="6">
        <f t="shared" si="54"/>
        <v>0.12976585102022858</v>
      </c>
      <c r="Y235" s="6">
        <f t="shared" si="55"/>
        <v>0.14371527058336489</v>
      </c>
    </row>
    <row r="236" spans="1:25" x14ac:dyDescent="0.35">
      <c r="A236" s="2">
        <v>45281</v>
      </c>
      <c r="B236" s="3">
        <v>212316</v>
      </c>
      <c r="C236" s="3">
        <v>21484.799999999999</v>
      </c>
      <c r="D236" s="3">
        <f t="shared" si="45"/>
        <v>233800.8</v>
      </c>
      <c r="E236" s="4">
        <f t="shared" si="46"/>
        <v>2457.3611111111109</v>
      </c>
      <c r="F236" s="4">
        <f t="shared" si="46"/>
        <v>248.66666666666663</v>
      </c>
      <c r="G236" s="4">
        <f t="shared" si="47"/>
        <v>2706.0277777777774</v>
      </c>
      <c r="H236" s="3">
        <v>152310</v>
      </c>
      <c r="I236" s="3">
        <v>70126</v>
      </c>
      <c r="J236" s="4">
        <f t="shared" si="42"/>
        <v>222436</v>
      </c>
      <c r="K236" s="4">
        <f t="shared" si="48"/>
        <v>1762.8472222222222</v>
      </c>
      <c r="L236" s="4">
        <f t="shared" si="49"/>
        <v>811.64351851851848</v>
      </c>
      <c r="M236" s="4">
        <f t="shared" si="43"/>
        <v>2574.4907407407409</v>
      </c>
      <c r="N236" s="5">
        <f t="shared" si="44"/>
        <v>4.8608901252690274E-2</v>
      </c>
      <c r="O236" s="7">
        <v>32.266151705917167</v>
      </c>
      <c r="P236" s="7">
        <v>21.307933669250044</v>
      </c>
      <c r="Q236" s="3">
        <v>24179.999999998472</v>
      </c>
      <c r="R236" s="3">
        <v>6059.9999999999454</v>
      </c>
      <c r="S236" s="3">
        <v>145.19999999999754</v>
      </c>
      <c r="T236" s="3">
        <f t="shared" si="50"/>
        <v>30385.199999998415</v>
      </c>
      <c r="U236" s="6">
        <f t="shared" si="51"/>
        <v>0.10342137409281095</v>
      </c>
      <c r="V236" s="6">
        <f t="shared" si="52"/>
        <v>2.591950070316246E-2</v>
      </c>
      <c r="W236" s="6">
        <f t="shared" si="53"/>
        <v>6.2104150199656098E-4</v>
      </c>
      <c r="X236" s="6">
        <f t="shared" si="54"/>
        <v>0.12996191629796996</v>
      </c>
      <c r="Y236" s="6">
        <f t="shared" si="55"/>
        <v>0.14311309557451352</v>
      </c>
    </row>
    <row r="237" spans="1:25" x14ac:dyDescent="0.35">
      <c r="A237" s="2">
        <v>45282</v>
      </c>
      <c r="B237" s="3">
        <v>211567</v>
      </c>
      <c r="C237" s="3">
        <v>24283.800000000003</v>
      </c>
      <c r="D237" s="3">
        <f t="shared" si="45"/>
        <v>235850.8</v>
      </c>
      <c r="E237" s="4">
        <f t="shared" si="46"/>
        <v>2448.6921296296296</v>
      </c>
      <c r="F237" s="4">
        <f t="shared" si="46"/>
        <v>281.0625</v>
      </c>
      <c r="G237" s="4">
        <f t="shared" si="47"/>
        <v>2729.7546296296296</v>
      </c>
      <c r="H237" s="3">
        <v>153037</v>
      </c>
      <c r="I237" s="3">
        <v>69745</v>
      </c>
      <c r="J237" s="4">
        <f t="shared" si="42"/>
        <v>222782</v>
      </c>
      <c r="K237" s="4">
        <f t="shared" si="48"/>
        <v>1771.2615740740739</v>
      </c>
      <c r="L237" s="4">
        <f t="shared" si="49"/>
        <v>807.23379629629619</v>
      </c>
      <c r="M237" s="4">
        <f t="shared" si="43"/>
        <v>2578.49537037037</v>
      </c>
      <c r="N237" s="5">
        <f t="shared" si="44"/>
        <v>5.5411302399652612E-2</v>
      </c>
      <c r="O237" s="7">
        <v>33.49242050828574</v>
      </c>
      <c r="P237" s="7">
        <v>21.770810132176777</v>
      </c>
      <c r="Q237" s="3">
        <v>23910.000000000764</v>
      </c>
      <c r="R237" s="3">
        <v>6339.999999999236</v>
      </c>
      <c r="S237" s="3">
        <v>171.60000000000537</v>
      </c>
      <c r="T237" s="3">
        <f t="shared" si="50"/>
        <v>30421.600000000006</v>
      </c>
      <c r="U237" s="6">
        <f t="shared" si="51"/>
        <v>0.10137765061640988</v>
      </c>
      <c r="V237" s="6">
        <f t="shared" si="52"/>
        <v>2.6881401292678405E-2</v>
      </c>
      <c r="W237" s="6">
        <f t="shared" si="53"/>
        <v>7.2757862173885093E-4</v>
      </c>
      <c r="X237" s="6">
        <f t="shared" si="54"/>
        <v>0.12898663053082715</v>
      </c>
      <c r="Y237" s="6">
        <f t="shared" si="55"/>
        <v>0.14379180117882281</v>
      </c>
    </row>
    <row r="238" spans="1:25" x14ac:dyDescent="0.35">
      <c r="A238" s="2">
        <v>45283</v>
      </c>
      <c r="B238" s="3">
        <v>211726</v>
      </c>
      <c r="C238" s="3">
        <v>21745.8</v>
      </c>
      <c r="D238" s="3">
        <f t="shared" si="45"/>
        <v>233471.8</v>
      </c>
      <c r="E238" s="4">
        <f t="shared" si="46"/>
        <v>2450.5324074074074</v>
      </c>
      <c r="F238" s="4">
        <f t="shared" si="46"/>
        <v>251.68749999999997</v>
      </c>
      <c r="G238" s="4">
        <f t="shared" si="47"/>
        <v>2702.2199074074074</v>
      </c>
      <c r="H238" s="3">
        <v>150343</v>
      </c>
      <c r="I238" s="3">
        <v>67570</v>
      </c>
      <c r="J238" s="4">
        <f t="shared" si="42"/>
        <v>217913</v>
      </c>
      <c r="K238" s="4">
        <f t="shared" si="48"/>
        <v>1740.0810185185185</v>
      </c>
      <c r="L238" s="4">
        <f t="shared" si="49"/>
        <v>782.06018518518511</v>
      </c>
      <c r="M238" s="4">
        <f t="shared" si="43"/>
        <v>2522.1412037037035</v>
      </c>
      <c r="N238" s="5">
        <f t="shared" si="44"/>
        <v>6.6641024740461116E-2</v>
      </c>
      <c r="O238" s="7">
        <v>32.507892095596979</v>
      </c>
      <c r="P238" s="7">
        <v>22.162381220475229</v>
      </c>
      <c r="Q238" s="3">
        <v>22740.000000001146</v>
      </c>
      <c r="R238" s="3">
        <v>5600.0000000012733</v>
      </c>
      <c r="S238" s="3">
        <v>175.99999999999682</v>
      </c>
      <c r="T238" s="3">
        <f t="shared" si="50"/>
        <v>28516.000000002416</v>
      </c>
      <c r="U238" s="6">
        <f t="shared" si="51"/>
        <v>9.7399343303992802E-2</v>
      </c>
      <c r="V238" s="6">
        <f t="shared" si="52"/>
        <v>2.3985766161057881E-2</v>
      </c>
      <c r="W238" s="6">
        <f t="shared" si="53"/>
        <v>7.5383836506163408E-4</v>
      </c>
      <c r="X238" s="6">
        <f t="shared" si="54"/>
        <v>0.12213894783011232</v>
      </c>
      <c r="Y238" s="6">
        <f t="shared" si="55"/>
        <v>0.13468350604083776</v>
      </c>
    </row>
    <row r="239" spans="1:25" x14ac:dyDescent="0.35">
      <c r="A239" s="2">
        <v>45284</v>
      </c>
      <c r="B239" s="3">
        <v>211823</v>
      </c>
      <c r="C239" s="3">
        <v>16113.599999999999</v>
      </c>
      <c r="D239" s="3">
        <f t="shared" si="45"/>
        <v>227936.6</v>
      </c>
      <c r="E239" s="4">
        <f t="shared" si="46"/>
        <v>2451.6550925925926</v>
      </c>
      <c r="F239" s="4">
        <f t="shared" si="46"/>
        <v>186.49999999999997</v>
      </c>
      <c r="G239" s="4">
        <f t="shared" si="47"/>
        <v>2638.1550925925926</v>
      </c>
      <c r="H239" s="3">
        <v>150902</v>
      </c>
      <c r="I239" s="3">
        <v>64671</v>
      </c>
      <c r="J239" s="4">
        <f t="shared" si="42"/>
        <v>215573</v>
      </c>
      <c r="K239" s="4">
        <f t="shared" si="48"/>
        <v>1746.5509259259259</v>
      </c>
      <c r="L239" s="4">
        <f t="shared" si="49"/>
        <v>748.50694444444434</v>
      </c>
      <c r="M239" s="4">
        <f t="shared" si="43"/>
        <v>2495.0578703703704</v>
      </c>
      <c r="N239" s="5">
        <f t="shared" si="44"/>
        <v>5.4241398704727564E-2</v>
      </c>
      <c r="O239" s="7">
        <v>30.878817762984028</v>
      </c>
      <c r="P239" s="7">
        <v>20.564631313568661</v>
      </c>
      <c r="Q239" s="3">
        <v>22109.999999999673</v>
      </c>
      <c r="R239" s="3">
        <v>4179.9999999989268</v>
      </c>
      <c r="S239" s="3">
        <v>172.39999999999782</v>
      </c>
      <c r="T239" s="3">
        <f t="shared" si="50"/>
        <v>26462.399999998597</v>
      </c>
      <c r="U239" s="6">
        <f t="shared" si="51"/>
        <v>9.7000657200290219E-2</v>
      </c>
      <c r="V239" s="6">
        <f t="shared" si="52"/>
        <v>1.8338432704528042E-2</v>
      </c>
      <c r="W239" s="6">
        <f t="shared" si="53"/>
        <v>7.5635066944052779E-4</v>
      </c>
      <c r="X239" s="6">
        <f t="shared" si="54"/>
        <v>0.11609544057425879</v>
      </c>
      <c r="Y239" s="6">
        <f t="shared" si="55"/>
        <v>0.12492694372187438</v>
      </c>
    </row>
    <row r="240" spans="1:25" x14ac:dyDescent="0.35">
      <c r="A240" s="2">
        <v>45285</v>
      </c>
      <c r="B240" s="3">
        <v>211901</v>
      </c>
      <c r="C240" s="3">
        <v>13820.399999999998</v>
      </c>
      <c r="D240" s="3">
        <f t="shared" si="45"/>
        <v>225721.4</v>
      </c>
      <c r="E240" s="4">
        <f t="shared" si="46"/>
        <v>2452.55787037037</v>
      </c>
      <c r="F240" s="4">
        <f t="shared" si="46"/>
        <v>159.95833333333329</v>
      </c>
      <c r="G240" s="4">
        <f t="shared" si="47"/>
        <v>2612.5162037037035</v>
      </c>
      <c r="H240" s="3">
        <v>150227</v>
      </c>
      <c r="I240" s="3">
        <v>66099</v>
      </c>
      <c r="J240" s="4">
        <f t="shared" si="42"/>
        <v>216326</v>
      </c>
      <c r="K240" s="4">
        <f t="shared" si="48"/>
        <v>1738.7384259259259</v>
      </c>
      <c r="L240" s="4">
        <f t="shared" si="49"/>
        <v>765.03472222222217</v>
      </c>
      <c r="M240" s="4">
        <f t="shared" si="43"/>
        <v>2503.7731481481478</v>
      </c>
      <c r="N240" s="5">
        <f t="shared" si="44"/>
        <v>4.1623877930936075E-2</v>
      </c>
      <c r="O240" s="7">
        <v>30.997173125018733</v>
      </c>
      <c r="P240" s="7">
        <v>21.167733944344921</v>
      </c>
      <c r="Q240" s="3">
        <v>21959.999999997763</v>
      </c>
      <c r="R240" s="3">
        <v>4099.9999999994543</v>
      </c>
      <c r="S240" s="3">
        <v>174.40000000000055</v>
      </c>
      <c r="T240" s="3">
        <f t="shared" si="50"/>
        <v>26234.399999997218</v>
      </c>
      <c r="U240" s="6">
        <f t="shared" si="51"/>
        <v>9.7288072818960736E-2</v>
      </c>
      <c r="V240" s="6">
        <f t="shared" si="52"/>
        <v>1.8163984451626893E-2</v>
      </c>
      <c r="W240" s="6">
        <f t="shared" si="53"/>
        <v>7.7263387521077115E-4</v>
      </c>
      <c r="X240" s="6">
        <f t="shared" si="54"/>
        <v>0.11622469114579841</v>
      </c>
      <c r="Y240" s="6">
        <f t="shared" si="55"/>
        <v>0.12380498440308077</v>
      </c>
    </row>
    <row r="241" spans="1:25" x14ac:dyDescent="0.35">
      <c r="A241" s="2">
        <v>45286</v>
      </c>
      <c r="B241" s="3">
        <v>212504</v>
      </c>
      <c r="C241" s="3">
        <v>17218.8</v>
      </c>
      <c r="D241" s="3">
        <f t="shared" si="45"/>
        <v>229722.8</v>
      </c>
      <c r="E241" s="4">
        <f t="shared" si="46"/>
        <v>2459.537037037037</v>
      </c>
      <c r="F241" s="4">
        <f t="shared" si="46"/>
        <v>199.29166666666666</v>
      </c>
      <c r="G241" s="4">
        <f t="shared" si="47"/>
        <v>2658.8287037037035</v>
      </c>
      <c r="H241" s="3">
        <v>151157</v>
      </c>
      <c r="I241" s="3">
        <v>67916</v>
      </c>
      <c r="J241" s="4">
        <f t="shared" si="42"/>
        <v>219073</v>
      </c>
      <c r="K241" s="4">
        <f t="shared" si="48"/>
        <v>1749.5023148148148</v>
      </c>
      <c r="L241" s="4">
        <f t="shared" si="49"/>
        <v>786.06481481481478</v>
      </c>
      <c r="M241" s="4">
        <f t="shared" si="43"/>
        <v>2535.5671296296296</v>
      </c>
      <c r="N241" s="5">
        <f t="shared" si="44"/>
        <v>4.6359351357375012E-2</v>
      </c>
      <c r="O241" s="7">
        <v>30.674191662874435</v>
      </c>
      <c r="P241" s="7">
        <v>23.189435632575226</v>
      </c>
      <c r="Q241" s="3">
        <v>22380.000000002838</v>
      </c>
      <c r="R241" s="3">
        <v>4539.9999999999636</v>
      </c>
      <c r="S241" s="3">
        <v>174.40000000000282</v>
      </c>
      <c r="T241" s="3">
        <f t="shared" si="50"/>
        <v>27094.400000002803</v>
      </c>
      <c r="U241" s="6">
        <f t="shared" si="51"/>
        <v>9.7421762228228279E-2</v>
      </c>
      <c r="V241" s="6">
        <f t="shared" si="52"/>
        <v>1.9762949084722821E-2</v>
      </c>
      <c r="W241" s="6">
        <f t="shared" si="53"/>
        <v>7.5917584149245456E-4</v>
      </c>
      <c r="X241" s="6">
        <f t="shared" si="54"/>
        <v>0.11794388715444355</v>
      </c>
      <c r="Y241" s="6">
        <f t="shared" si="55"/>
        <v>0.12750065881114145</v>
      </c>
    </row>
    <row r="242" spans="1:25" x14ac:dyDescent="0.35">
      <c r="A242" s="2">
        <v>45287</v>
      </c>
      <c r="B242" s="3">
        <v>212443</v>
      </c>
      <c r="C242" s="3">
        <v>23498.999999999996</v>
      </c>
      <c r="D242" s="3">
        <f t="shared" si="45"/>
        <v>235942</v>
      </c>
      <c r="E242" s="4">
        <f t="shared" si="46"/>
        <v>2458.8310185185182</v>
      </c>
      <c r="F242" s="4">
        <f t="shared" si="46"/>
        <v>271.97916666666663</v>
      </c>
      <c r="G242" s="4">
        <f t="shared" si="47"/>
        <v>2730.8101851851848</v>
      </c>
      <c r="H242" s="3">
        <v>153092</v>
      </c>
      <c r="I242" s="3">
        <v>70643</v>
      </c>
      <c r="J242" s="4">
        <f t="shared" si="42"/>
        <v>223735</v>
      </c>
      <c r="K242" s="4">
        <f t="shared" si="48"/>
        <v>1771.898148148148</v>
      </c>
      <c r="L242" s="4">
        <f t="shared" si="49"/>
        <v>817.62731481481478</v>
      </c>
      <c r="M242" s="4">
        <f t="shared" si="43"/>
        <v>2589.5254629629626</v>
      </c>
      <c r="N242" s="5">
        <f t="shared" si="44"/>
        <v>5.1737291368217614E-2</v>
      </c>
      <c r="O242" s="7">
        <v>47.9555133816488</v>
      </c>
      <c r="P242" s="7">
        <v>20.010846061519906</v>
      </c>
      <c r="Q242" s="3">
        <v>23849.99999999809</v>
      </c>
      <c r="R242" s="3">
        <v>5980.0000000004729</v>
      </c>
      <c r="S242" s="3">
        <v>166.00000000000136</v>
      </c>
      <c r="T242" s="3">
        <f t="shared" si="50"/>
        <v>29995.999999998563</v>
      </c>
      <c r="U242" s="6">
        <f t="shared" si="51"/>
        <v>0.1010841647523463</v>
      </c>
      <c r="V242" s="6">
        <f t="shared" si="52"/>
        <v>2.5345211958873251E-2</v>
      </c>
      <c r="W242" s="6">
        <f t="shared" si="53"/>
        <v>7.0356273999542835E-4</v>
      </c>
      <c r="X242" s="6">
        <f t="shared" si="54"/>
        <v>0.12713293945121498</v>
      </c>
      <c r="Y242" s="6">
        <f t="shared" si="55"/>
        <v>0.14119552068083469</v>
      </c>
    </row>
    <row r="243" spans="1:25" x14ac:dyDescent="0.35">
      <c r="A243" s="2">
        <v>45288</v>
      </c>
      <c r="B243" s="3">
        <v>212242</v>
      </c>
      <c r="C243" s="3">
        <v>30078</v>
      </c>
      <c r="D243" s="3">
        <f t="shared" si="45"/>
        <v>242320</v>
      </c>
      <c r="E243" s="4">
        <f t="shared" si="46"/>
        <v>2456.5046296296296</v>
      </c>
      <c r="F243" s="4">
        <f t="shared" si="46"/>
        <v>348.125</v>
      </c>
      <c r="G243" s="4">
        <f t="shared" si="47"/>
        <v>2804.6296296296296</v>
      </c>
      <c r="H243" s="3">
        <v>156030</v>
      </c>
      <c r="I243" s="3">
        <v>71429</v>
      </c>
      <c r="J243" s="4">
        <f t="shared" si="42"/>
        <v>227459</v>
      </c>
      <c r="K243" s="4">
        <f t="shared" si="48"/>
        <v>1805.9027777777776</v>
      </c>
      <c r="L243" s="4">
        <f t="shared" si="49"/>
        <v>826.72453703703695</v>
      </c>
      <c r="M243" s="4">
        <f t="shared" si="43"/>
        <v>2632.6273148148148</v>
      </c>
      <c r="N243" s="5">
        <f t="shared" si="44"/>
        <v>6.1327996038296466E-2</v>
      </c>
      <c r="O243" s="7">
        <v>46.589398469954602</v>
      </c>
      <c r="P243" s="7">
        <v>20.698988270866423</v>
      </c>
      <c r="Q243" s="3">
        <v>23339.999999999236</v>
      </c>
      <c r="R243" s="3">
        <v>7199.9999999993634</v>
      </c>
      <c r="S243" s="3">
        <v>166.39999999999873</v>
      </c>
      <c r="T243" s="3">
        <f t="shared" si="50"/>
        <v>30706.399999998597</v>
      </c>
      <c r="U243" s="6">
        <f t="shared" si="51"/>
        <v>9.6318917134364621E-2</v>
      </c>
      <c r="V243" s="6">
        <f t="shared" si="52"/>
        <v>2.9712776493889745E-2</v>
      </c>
      <c r="W243" s="6">
        <f t="shared" si="53"/>
        <v>6.8669527896995182E-4</v>
      </c>
      <c r="X243" s="6">
        <f t="shared" si="54"/>
        <v>0.12671838890722431</v>
      </c>
      <c r="Y243" s="6">
        <f t="shared" si="55"/>
        <v>0.14467636000413961</v>
      </c>
    </row>
    <row r="244" spans="1:25" x14ac:dyDescent="0.35">
      <c r="A244" s="2">
        <v>45289</v>
      </c>
      <c r="B244" s="3">
        <v>153123</v>
      </c>
      <c r="C244" s="3">
        <v>36640.800000000003</v>
      </c>
      <c r="D244" s="3">
        <f t="shared" si="45"/>
        <v>189763.8</v>
      </c>
      <c r="E244" s="4">
        <f t="shared" si="46"/>
        <v>1772.2569444444443</v>
      </c>
      <c r="F244" s="4">
        <f t="shared" si="46"/>
        <v>424.08333333333331</v>
      </c>
      <c r="G244" s="4">
        <f t="shared" si="47"/>
        <v>2196.3402777777778</v>
      </c>
      <c r="H244" s="3">
        <v>119082</v>
      </c>
      <c r="I244" s="3">
        <v>53678</v>
      </c>
      <c r="J244" s="4">
        <f t="shared" si="42"/>
        <v>172760</v>
      </c>
      <c r="K244" s="4">
        <f t="shared" si="48"/>
        <v>1378.2638888888887</v>
      </c>
      <c r="L244" s="4">
        <f t="shared" si="49"/>
        <v>621.27314814814815</v>
      </c>
      <c r="M244" s="4">
        <f t="shared" si="43"/>
        <v>1999.537037037037</v>
      </c>
      <c r="N244" s="5">
        <f t="shared" si="44"/>
        <v>8.9605077469991593E-2</v>
      </c>
      <c r="O244" s="7">
        <v>44.818197018170565</v>
      </c>
      <c r="P244" s="7">
        <v>20.137013501047555</v>
      </c>
      <c r="Q244" s="3">
        <v>19300.000000002001</v>
      </c>
      <c r="R244" s="3">
        <v>7620.0000000003456</v>
      </c>
      <c r="S244" s="3">
        <v>141.19999999999663</v>
      </c>
      <c r="T244" s="3">
        <f t="shared" si="50"/>
        <v>27061.200000002344</v>
      </c>
      <c r="U244" s="6">
        <f t="shared" si="51"/>
        <v>0.10170538321851692</v>
      </c>
      <c r="V244" s="6">
        <f t="shared" si="52"/>
        <v>4.0155182389899159E-2</v>
      </c>
      <c r="W244" s="6">
        <f t="shared" si="53"/>
        <v>7.4408290727734502E-4</v>
      </c>
      <c r="X244" s="6">
        <f t="shared" si="54"/>
        <v>0.14260464851569343</v>
      </c>
      <c r="Y244" s="6">
        <f t="shared" si="55"/>
        <v>0.17672851237242179</v>
      </c>
    </row>
    <row r="245" spans="1:25" x14ac:dyDescent="0.35">
      <c r="A245" s="2">
        <v>45290</v>
      </c>
      <c r="B245" s="3">
        <v>216579</v>
      </c>
      <c r="C245" s="3">
        <v>15796.800000000001</v>
      </c>
      <c r="D245" s="3">
        <f t="shared" si="45"/>
        <v>232375.8</v>
      </c>
      <c r="E245" s="4">
        <f t="shared" si="46"/>
        <v>2506.7013888888887</v>
      </c>
      <c r="F245" s="4">
        <f t="shared" si="46"/>
        <v>182.83333333333334</v>
      </c>
      <c r="G245" s="4">
        <f t="shared" si="47"/>
        <v>2689.5347222222222</v>
      </c>
      <c r="H245" s="3">
        <v>147798</v>
      </c>
      <c r="I245" s="3">
        <v>65873</v>
      </c>
      <c r="J245" s="4">
        <f t="shared" si="42"/>
        <v>213671</v>
      </c>
      <c r="K245" s="4">
        <f t="shared" si="48"/>
        <v>1710.625</v>
      </c>
      <c r="L245" s="4">
        <f t="shared" si="49"/>
        <v>762.41898148148141</v>
      </c>
      <c r="M245" s="4">
        <f t="shared" si="43"/>
        <v>2473.0439814814813</v>
      </c>
      <c r="N245" s="5">
        <f t="shared" si="44"/>
        <v>8.0493751931139085E-2</v>
      </c>
      <c r="O245" s="7">
        <v>45.986714762428271</v>
      </c>
      <c r="P245" s="7">
        <v>22.632340737621728</v>
      </c>
      <c r="Q245" s="3">
        <v>22099.99999999809</v>
      </c>
      <c r="R245" s="3">
        <v>3480.0000000009277</v>
      </c>
      <c r="S245" s="3">
        <v>195.99999999999909</v>
      </c>
      <c r="T245" s="3">
        <f t="shared" si="50"/>
        <v>25775.999999999018</v>
      </c>
      <c r="U245" s="6">
        <f t="shared" si="51"/>
        <v>9.5104567687332719E-2</v>
      </c>
      <c r="V245" s="6">
        <f t="shared" si="52"/>
        <v>1.4975741880182566E-2</v>
      </c>
      <c r="W245" s="6">
        <f t="shared" si="53"/>
        <v>8.4346132428591571E-4</v>
      </c>
      <c r="X245" s="6">
        <f t="shared" si="54"/>
        <v>0.11092377089180121</v>
      </c>
      <c r="Y245" s="6">
        <f t="shared" si="55"/>
        <v>0.11901430886650607</v>
      </c>
    </row>
    <row r="246" spans="1:25" x14ac:dyDescent="0.35">
      <c r="A246" s="2">
        <v>45291</v>
      </c>
      <c r="B246" s="3">
        <v>216058</v>
      </c>
      <c r="C246" s="3">
        <v>16113.599999999999</v>
      </c>
      <c r="D246" s="3">
        <f t="shared" si="45"/>
        <v>232171.6</v>
      </c>
      <c r="E246" s="4">
        <f t="shared" si="46"/>
        <v>2500.6712962962961</v>
      </c>
      <c r="F246" s="4">
        <f t="shared" si="46"/>
        <v>186.49999999999997</v>
      </c>
      <c r="G246" s="4">
        <f t="shared" si="47"/>
        <v>2687.1712962962961</v>
      </c>
      <c r="H246" s="3">
        <v>151709</v>
      </c>
      <c r="I246" s="3">
        <v>67017</v>
      </c>
      <c r="J246" s="4">
        <f t="shared" si="42"/>
        <v>218726</v>
      </c>
      <c r="K246" s="4">
        <f t="shared" si="48"/>
        <v>1755.8912037037037</v>
      </c>
      <c r="L246" s="4">
        <f t="shared" si="49"/>
        <v>775.65972222222217</v>
      </c>
      <c r="M246" s="4">
        <f t="shared" si="43"/>
        <v>2531.5509259259261</v>
      </c>
      <c r="N246" s="5">
        <f t="shared" si="44"/>
        <v>5.7912337253996637E-2</v>
      </c>
      <c r="O246" s="7">
        <v>42.491279097852399</v>
      </c>
      <c r="P246" s="7">
        <v>22.530329011509053</v>
      </c>
      <c r="Q246" s="3">
        <v>19620.000000002165</v>
      </c>
      <c r="R246" s="3">
        <v>4039.9999999999636</v>
      </c>
      <c r="S246" s="3">
        <v>104.00000000000318</v>
      </c>
      <c r="T246" s="3">
        <f t="shared" si="50"/>
        <v>23764.000000002132</v>
      </c>
      <c r="U246" s="6">
        <f t="shared" si="51"/>
        <v>8.4506459877100232E-2</v>
      </c>
      <c r="V246" s="6">
        <f t="shared" si="52"/>
        <v>1.7400922421174525E-2</v>
      </c>
      <c r="W246" s="6">
        <f t="shared" si="53"/>
        <v>4.4794453757480751E-4</v>
      </c>
      <c r="X246" s="6">
        <f t="shared" si="54"/>
        <v>0.10235532683584957</v>
      </c>
      <c r="Y246" s="6">
        <f t="shared" si="55"/>
        <v>0.10998898443937337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02A3F-F4A6-40B8-881E-28A7AD1D64CD}">
  <dimension ref="A1:S246"/>
  <sheetViews>
    <sheetView tabSelected="1" workbookViewId="0">
      <pane xSplit="1" ySplit="1" topLeftCell="F233" activePane="bottomRight" state="frozen"/>
      <selection pane="topRight" activeCell="B1" sqref="B1"/>
      <selection pane="bottomLeft" activeCell="A2" sqref="A2"/>
      <selection pane="bottomRight" activeCell="J243" sqref="J243"/>
    </sheetView>
  </sheetViews>
  <sheetFormatPr defaultRowHeight="14.5" x14ac:dyDescent="0.35"/>
  <cols>
    <col min="1" max="1" width="8.81640625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9" width="11.7265625" customWidth="1"/>
    <col min="10" max="10" width="12.1796875" bestFit="1" customWidth="1"/>
    <col min="11" max="15" width="10.90625" customWidth="1"/>
    <col min="16" max="16" width="10.1796875" customWidth="1"/>
    <col min="17" max="17" width="11" customWidth="1"/>
    <col min="18" max="18" width="10.453125" customWidth="1"/>
    <col min="19" max="19" width="10.36328125" customWidth="1"/>
  </cols>
  <sheetData>
    <row r="1" spans="1:19" ht="58" x14ac:dyDescent="0.35">
      <c r="A1" s="9" t="s">
        <v>0</v>
      </c>
      <c r="B1" s="10" t="s">
        <v>31</v>
      </c>
      <c r="C1" s="10" t="s">
        <v>32</v>
      </c>
      <c r="D1" s="10" t="s">
        <v>52</v>
      </c>
      <c r="E1" s="10" t="s">
        <v>34</v>
      </c>
      <c r="F1" s="10" t="s">
        <v>35</v>
      </c>
      <c r="G1" s="10" t="s">
        <v>53</v>
      </c>
      <c r="H1" s="10" t="s">
        <v>54</v>
      </c>
      <c r="I1" s="10" t="s">
        <v>40</v>
      </c>
      <c r="J1" s="10" t="s">
        <v>3</v>
      </c>
      <c r="K1" s="10" t="s">
        <v>4</v>
      </c>
      <c r="L1" s="10" t="s">
        <v>5</v>
      </c>
      <c r="M1" s="10" t="s">
        <v>43</v>
      </c>
      <c r="N1" s="10" t="s">
        <v>44</v>
      </c>
      <c r="O1" s="10" t="s">
        <v>51</v>
      </c>
      <c r="P1" s="10" t="s">
        <v>47</v>
      </c>
      <c r="Q1" s="10" t="s">
        <v>46</v>
      </c>
      <c r="R1" s="10" t="s">
        <v>49</v>
      </c>
      <c r="S1" s="10" t="s">
        <v>50</v>
      </c>
    </row>
    <row r="2" spans="1:19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5">
      <c r="A3" s="2">
        <v>45048</v>
      </c>
      <c r="B3" s="3">
        <v>109187</v>
      </c>
      <c r="C3" s="3">
        <v>9333</v>
      </c>
      <c r="D3" s="3">
        <f>SUM(B3:C3)</f>
        <v>118520</v>
      </c>
      <c r="E3" s="4">
        <f>B3/3.6/8</f>
        <v>3791.2152777777778</v>
      </c>
      <c r="F3" s="4">
        <f>C3/3.6/8</f>
        <v>324.0625</v>
      </c>
      <c r="G3" s="4">
        <f>SUM(E3:F3)</f>
        <v>4115.2777777777774</v>
      </c>
      <c r="H3" s="3">
        <v>96203</v>
      </c>
      <c r="I3" s="4">
        <f>H3/3.6/8</f>
        <v>3340.3819444444443</v>
      </c>
      <c r="J3" s="5">
        <f>(D3-H3)/D3</f>
        <v>0.18829733378332772</v>
      </c>
      <c r="K3" s="1"/>
      <c r="L3" s="1"/>
      <c r="M3" s="3">
        <v>5880.0000000001091</v>
      </c>
      <c r="N3" s="3"/>
      <c r="O3" s="3"/>
      <c r="P3" s="6"/>
      <c r="Q3" s="1"/>
      <c r="R3" s="1"/>
      <c r="S3" s="1"/>
    </row>
    <row r="4" spans="1:19" x14ac:dyDescent="0.35">
      <c r="A4" s="2">
        <v>45049</v>
      </c>
      <c r="B4" s="3">
        <v>327889</v>
      </c>
      <c r="C4" s="3">
        <v>24238</v>
      </c>
      <c r="D4" s="3">
        <f t="shared" ref="D4:D67" si="0">SUM(B4:C4)</f>
        <v>352127</v>
      </c>
      <c r="E4" s="4">
        <f t="shared" ref="E4:F67" si="1">B4/86.4</f>
        <v>3795.0115740740739</v>
      </c>
      <c r="F4" s="4">
        <f t="shared" si="1"/>
        <v>280.53240740740739</v>
      </c>
      <c r="G4" s="4">
        <f t="shared" ref="G4:G67" si="2">SUM(E4:F4)</f>
        <v>4075.5439814814813</v>
      </c>
      <c r="H4" s="3">
        <v>325589</v>
      </c>
      <c r="I4" s="4">
        <f t="shared" ref="I4:I67" si="3">H4/86.4</f>
        <v>3768.3912037037035</v>
      </c>
      <c r="J4" s="5">
        <f t="shared" ref="J4:J67" si="4">(D4-H4)/D4</f>
        <v>7.5364854157732863E-2</v>
      </c>
      <c r="K4" s="7">
        <v>59.57791058329439</v>
      </c>
      <c r="L4" s="7">
        <v>18.327793438059857</v>
      </c>
      <c r="M4" s="3">
        <v>33840.000000001055</v>
      </c>
      <c r="N4" s="3">
        <v>9200.0000000011823</v>
      </c>
      <c r="O4" s="3">
        <f t="shared" ref="O4:O67" si="5">SUM(M4:N4)</f>
        <v>43040.000000002241</v>
      </c>
      <c r="P4" s="6">
        <f>M4/$D4</f>
        <v>9.6101690583230065E-2</v>
      </c>
      <c r="Q4" s="6">
        <f>N4/$D4</f>
        <v>2.6126937156199844E-2</v>
      </c>
      <c r="R4" s="6">
        <f>O4/$D4</f>
        <v>0.12222862773942993</v>
      </c>
      <c r="S4" s="6">
        <f t="shared" ref="S4:S67" si="6">O4/B4</f>
        <v>0.13126393383127291</v>
      </c>
    </row>
    <row r="5" spans="1:19" x14ac:dyDescent="0.35">
      <c r="A5" s="2">
        <v>45050</v>
      </c>
      <c r="B5" s="3">
        <v>329300</v>
      </c>
      <c r="C5" s="3">
        <v>21398</v>
      </c>
      <c r="D5" s="3">
        <f t="shared" si="0"/>
        <v>350698</v>
      </c>
      <c r="E5" s="4">
        <f t="shared" si="1"/>
        <v>3811.3425925925922</v>
      </c>
      <c r="F5" s="4">
        <f t="shared" si="1"/>
        <v>247.66203703703701</v>
      </c>
      <c r="G5" s="4">
        <f t="shared" si="2"/>
        <v>4059.0046296296291</v>
      </c>
      <c r="H5" s="3">
        <v>325821.00000000006</v>
      </c>
      <c r="I5" s="4">
        <f t="shared" si="3"/>
        <v>3771.0763888888891</v>
      </c>
      <c r="J5" s="5">
        <f t="shared" si="4"/>
        <v>7.0935676850167217E-2</v>
      </c>
      <c r="K5" s="7">
        <v>60.09417053378543</v>
      </c>
      <c r="L5" s="7">
        <v>18.886749904069841</v>
      </c>
      <c r="M5" s="3">
        <v>32959.999999997308</v>
      </c>
      <c r="N5" s="3">
        <v>7239.9999999997817</v>
      </c>
      <c r="O5" s="3">
        <f t="shared" si="5"/>
        <v>40199.99999999709</v>
      </c>
      <c r="P5" s="6">
        <f t="shared" ref="P5:P68" si="7">M5/$D5</f>
        <v>9.3983997627580737E-2</v>
      </c>
      <c r="Q5" s="6">
        <f t="shared" ref="Q5:Q68" si="8">N5/$D5</f>
        <v>2.0644543168195376E-2</v>
      </c>
      <c r="R5" s="6">
        <f t="shared" ref="R5:R67" si="9">O5/$D5</f>
        <v>0.11462854079577611</v>
      </c>
      <c r="S5" s="6">
        <f t="shared" si="6"/>
        <v>0.12207713331307952</v>
      </c>
    </row>
    <row r="6" spans="1:19" x14ac:dyDescent="0.35">
      <c r="A6" s="2">
        <v>45051</v>
      </c>
      <c r="B6" s="3">
        <v>329916</v>
      </c>
      <c r="C6" s="3">
        <v>11691</v>
      </c>
      <c r="D6" s="3">
        <f t="shared" si="0"/>
        <v>341607</v>
      </c>
      <c r="E6" s="4">
        <f t="shared" si="1"/>
        <v>3818.4722222222222</v>
      </c>
      <c r="F6" s="4">
        <f t="shared" si="1"/>
        <v>135.3125</v>
      </c>
      <c r="G6" s="4">
        <f t="shared" si="2"/>
        <v>3953.7847222222222</v>
      </c>
      <c r="H6" s="3">
        <v>315668</v>
      </c>
      <c r="I6" s="4">
        <f t="shared" si="3"/>
        <v>3653.5648148148148</v>
      </c>
      <c r="J6" s="5">
        <f t="shared" si="4"/>
        <v>7.5932284759972712E-2</v>
      </c>
      <c r="K6" s="7">
        <v>59.393372856433992</v>
      </c>
      <c r="L6" s="7">
        <v>18.560766967210416</v>
      </c>
      <c r="M6" s="3">
        <v>32680.000000000291</v>
      </c>
      <c r="N6" s="3">
        <v>6899.9999999991815</v>
      </c>
      <c r="O6" s="3">
        <f t="shared" si="5"/>
        <v>39579.999999999476</v>
      </c>
      <c r="P6" s="6">
        <f t="shared" si="7"/>
        <v>9.566548694845331E-2</v>
      </c>
      <c r="Q6" s="6">
        <f t="shared" si="8"/>
        <v>2.0198649325099256E-2</v>
      </c>
      <c r="R6" s="6">
        <f t="shared" si="9"/>
        <v>0.11586413627355258</v>
      </c>
      <c r="S6" s="6">
        <f t="shared" si="6"/>
        <v>0.11996993174019895</v>
      </c>
    </row>
    <row r="7" spans="1:19" x14ac:dyDescent="0.35">
      <c r="A7" s="2">
        <v>45052</v>
      </c>
      <c r="B7" s="3">
        <v>329841</v>
      </c>
      <c r="C7" s="3">
        <v>11316.999999999998</v>
      </c>
      <c r="D7" s="3">
        <f t="shared" si="0"/>
        <v>341158</v>
      </c>
      <c r="E7" s="4">
        <f t="shared" si="1"/>
        <v>3817.6041666666665</v>
      </c>
      <c r="F7" s="4">
        <f t="shared" si="1"/>
        <v>130.98379629629628</v>
      </c>
      <c r="G7" s="4">
        <f t="shared" si="2"/>
        <v>3948.5879629629626</v>
      </c>
      <c r="H7" s="3">
        <v>310214</v>
      </c>
      <c r="I7" s="4">
        <f t="shared" si="3"/>
        <v>3590.4398148148148</v>
      </c>
      <c r="J7" s="5">
        <f t="shared" si="4"/>
        <v>9.0702841498660439E-2</v>
      </c>
      <c r="K7" s="7">
        <v>59.9408233741134</v>
      </c>
      <c r="L7" s="7">
        <v>18.751134139213434</v>
      </c>
      <c r="M7" s="3">
        <v>24720.000000000255</v>
      </c>
      <c r="N7" s="3">
        <v>5560.0000000013097</v>
      </c>
      <c r="O7" s="3">
        <f t="shared" si="5"/>
        <v>30280.000000001564</v>
      </c>
      <c r="P7" s="6">
        <f t="shared" si="7"/>
        <v>7.245909519929257E-2</v>
      </c>
      <c r="Q7" s="6">
        <f t="shared" si="8"/>
        <v>1.6297434033501514E-2</v>
      </c>
      <c r="R7" s="6">
        <f t="shared" si="9"/>
        <v>8.875652923279409E-2</v>
      </c>
      <c r="S7" s="6">
        <f t="shared" si="6"/>
        <v>9.1801807537575872E-2</v>
      </c>
    </row>
    <row r="8" spans="1:19" x14ac:dyDescent="0.35">
      <c r="A8" s="2">
        <v>45053</v>
      </c>
      <c r="B8" s="3">
        <v>329347</v>
      </c>
      <c r="C8" s="3">
        <v>9669</v>
      </c>
      <c r="D8" s="3">
        <f t="shared" si="0"/>
        <v>339016</v>
      </c>
      <c r="E8" s="4">
        <f t="shared" si="1"/>
        <v>3811.8865740740739</v>
      </c>
      <c r="F8" s="4">
        <f t="shared" si="1"/>
        <v>111.90972222222221</v>
      </c>
      <c r="G8" s="4">
        <f t="shared" si="2"/>
        <v>3923.7962962962961</v>
      </c>
      <c r="H8" s="3">
        <v>311123</v>
      </c>
      <c r="I8" s="4">
        <f t="shared" si="3"/>
        <v>3600.9606481481478</v>
      </c>
      <c r="J8" s="5">
        <f t="shared" si="4"/>
        <v>8.2276352738513817E-2</v>
      </c>
      <c r="K8" s="7">
        <v>59.835362564491874</v>
      </c>
      <c r="L8" s="7">
        <v>19.036596856678457</v>
      </c>
      <c r="M8" s="3">
        <v>24680.00000000211</v>
      </c>
      <c r="N8" s="3">
        <v>5179.999999998472</v>
      </c>
      <c r="O8" s="3">
        <f t="shared" si="5"/>
        <v>29860.000000000582</v>
      </c>
      <c r="P8" s="6">
        <f t="shared" si="7"/>
        <v>7.2798923944598803E-2</v>
      </c>
      <c r="Q8" s="6">
        <f t="shared" si="8"/>
        <v>1.5279514831153904E-2</v>
      </c>
      <c r="R8" s="6">
        <f t="shared" si="9"/>
        <v>8.8078438775752707E-2</v>
      </c>
      <c r="S8" s="6">
        <f t="shared" si="6"/>
        <v>9.0664253811331461E-2</v>
      </c>
    </row>
    <row r="9" spans="1:19" x14ac:dyDescent="0.35">
      <c r="A9" s="2">
        <v>45054</v>
      </c>
      <c r="B9" s="3">
        <v>328819</v>
      </c>
      <c r="C9" s="3">
        <v>16990</v>
      </c>
      <c r="D9" s="3">
        <f t="shared" si="0"/>
        <v>345809</v>
      </c>
      <c r="E9" s="4">
        <f t="shared" si="1"/>
        <v>3805.7754629629626</v>
      </c>
      <c r="F9" s="4">
        <f t="shared" si="1"/>
        <v>196.6435185185185</v>
      </c>
      <c r="G9" s="4">
        <f t="shared" si="2"/>
        <v>4002.4189814814813</v>
      </c>
      <c r="H9" s="3">
        <v>315941.00000000006</v>
      </c>
      <c r="I9" s="4">
        <f t="shared" si="3"/>
        <v>3656.7245370370374</v>
      </c>
      <c r="J9" s="5">
        <f t="shared" si="4"/>
        <v>8.6371378419879019E-2</v>
      </c>
      <c r="K9" s="7">
        <v>59.220145862790666</v>
      </c>
      <c r="L9" s="7">
        <v>18.498938491091256</v>
      </c>
      <c r="M9" s="3">
        <v>28119.999999998981</v>
      </c>
      <c r="N9" s="3">
        <v>6360.0000000001273</v>
      </c>
      <c r="O9" s="3">
        <f t="shared" si="5"/>
        <v>34479.999999999112</v>
      </c>
      <c r="P9" s="6">
        <f t="shared" si="7"/>
        <v>8.1316564924565238E-2</v>
      </c>
      <c r="Q9" s="6">
        <f t="shared" si="8"/>
        <v>1.8391655509255478E-2</v>
      </c>
      <c r="R9" s="6">
        <f t="shared" si="9"/>
        <v>9.970822043382073E-2</v>
      </c>
      <c r="S9" s="6">
        <f t="shared" si="6"/>
        <v>0.1048601206134655</v>
      </c>
    </row>
    <row r="10" spans="1:19" x14ac:dyDescent="0.35">
      <c r="A10" s="2">
        <v>45055</v>
      </c>
      <c r="B10" s="3">
        <v>328903</v>
      </c>
      <c r="C10" s="3">
        <v>16759</v>
      </c>
      <c r="D10" s="3">
        <f t="shared" si="0"/>
        <v>345662</v>
      </c>
      <c r="E10" s="4">
        <f t="shared" si="1"/>
        <v>3806.7476851851848</v>
      </c>
      <c r="F10" s="4">
        <f t="shared" si="1"/>
        <v>193.96990740740739</v>
      </c>
      <c r="G10" s="4">
        <f t="shared" si="2"/>
        <v>4000.7175925925922</v>
      </c>
      <c r="H10" s="3">
        <v>315745</v>
      </c>
      <c r="I10" s="4">
        <f t="shared" si="3"/>
        <v>3654.4560185185182</v>
      </c>
      <c r="J10" s="5">
        <f t="shared" si="4"/>
        <v>8.6549866632722142E-2</v>
      </c>
      <c r="K10" s="7">
        <v>58.169299552944558</v>
      </c>
      <c r="L10" s="7">
        <v>18.179251471292538</v>
      </c>
      <c r="M10" s="3">
        <v>27040.000000001783</v>
      </c>
      <c r="N10" s="3">
        <v>6900.0000000005457</v>
      </c>
      <c r="O10" s="3">
        <f t="shared" si="5"/>
        <v>33940.000000002328</v>
      </c>
      <c r="P10" s="6">
        <f t="shared" si="7"/>
        <v>7.8226707014371788E-2</v>
      </c>
      <c r="Q10" s="6">
        <f t="shared" si="8"/>
        <v>1.9961696686359928E-2</v>
      </c>
      <c r="R10" s="6">
        <f t="shared" si="9"/>
        <v>9.8188403700731716E-2</v>
      </c>
      <c r="S10" s="6">
        <f t="shared" si="6"/>
        <v>0.10319151847201859</v>
      </c>
    </row>
    <row r="11" spans="1:19" x14ac:dyDescent="0.35">
      <c r="A11" s="2">
        <v>45056</v>
      </c>
      <c r="B11" s="3">
        <v>327858</v>
      </c>
      <c r="C11" s="3">
        <v>15921</v>
      </c>
      <c r="D11" s="3">
        <f t="shared" si="0"/>
        <v>343779</v>
      </c>
      <c r="E11" s="4">
        <f t="shared" si="1"/>
        <v>3794.6527777777774</v>
      </c>
      <c r="F11" s="4">
        <f t="shared" si="1"/>
        <v>184.27083333333331</v>
      </c>
      <c r="G11" s="4">
        <f t="shared" si="2"/>
        <v>3978.9236111111109</v>
      </c>
      <c r="H11" s="3">
        <v>315776</v>
      </c>
      <c r="I11" s="4">
        <f t="shared" si="3"/>
        <v>3654.8148148148148</v>
      </c>
      <c r="J11" s="5">
        <f t="shared" si="4"/>
        <v>8.1456400769098755E-2</v>
      </c>
      <c r="K11" s="7">
        <v>60.107392890972918</v>
      </c>
      <c r="L11" s="7">
        <v>18.608173915991891</v>
      </c>
      <c r="M11" s="3">
        <v>27119.999999998072</v>
      </c>
      <c r="N11" s="3">
        <v>7060.0000000004002</v>
      </c>
      <c r="O11" s="3">
        <f t="shared" si="5"/>
        <v>34179.999999998472</v>
      </c>
      <c r="P11" s="6">
        <f t="shared" si="7"/>
        <v>7.8887890185258755E-2</v>
      </c>
      <c r="Q11" s="6">
        <f t="shared" si="8"/>
        <v>2.0536449288642997E-2</v>
      </c>
      <c r="R11" s="6">
        <f t="shared" si="9"/>
        <v>9.9424339473901752E-2</v>
      </c>
      <c r="S11" s="6">
        <f t="shared" si="6"/>
        <v>0.10425245075611536</v>
      </c>
    </row>
    <row r="12" spans="1:19" x14ac:dyDescent="0.35">
      <c r="A12" s="2">
        <v>45057</v>
      </c>
      <c r="B12" s="3">
        <v>327537</v>
      </c>
      <c r="C12" s="3">
        <v>14525</v>
      </c>
      <c r="D12" s="3">
        <f t="shared" si="0"/>
        <v>342062</v>
      </c>
      <c r="E12" s="4">
        <f t="shared" si="1"/>
        <v>3790.9374999999995</v>
      </c>
      <c r="F12" s="4">
        <f t="shared" si="1"/>
        <v>168.11342592592592</v>
      </c>
      <c r="G12" s="4">
        <f t="shared" si="2"/>
        <v>3959.0509259259256</v>
      </c>
      <c r="H12" s="3">
        <v>315330</v>
      </c>
      <c r="I12" s="4">
        <f t="shared" si="3"/>
        <v>3649.6527777777774</v>
      </c>
      <c r="J12" s="5">
        <f t="shared" si="4"/>
        <v>7.8149575223205148E-2</v>
      </c>
      <c r="K12" s="7">
        <v>59.379200032063913</v>
      </c>
      <c r="L12" s="7">
        <v>18.536078024942402</v>
      </c>
      <c r="M12" s="3">
        <v>26119.999999998072</v>
      </c>
      <c r="N12" s="3">
        <v>6739.9999999988722</v>
      </c>
      <c r="O12" s="3">
        <f t="shared" si="5"/>
        <v>32859.999999996944</v>
      </c>
      <c r="P12" s="6">
        <f t="shared" si="7"/>
        <v>7.6360425887698938E-2</v>
      </c>
      <c r="Q12" s="6">
        <f t="shared" si="8"/>
        <v>1.9704030263516182E-2</v>
      </c>
      <c r="R12" s="6">
        <f t="shared" si="9"/>
        <v>9.6064456151215116E-2</v>
      </c>
      <c r="S12" s="6">
        <f t="shared" si="6"/>
        <v>0.10032454348668073</v>
      </c>
    </row>
    <row r="13" spans="1:19" x14ac:dyDescent="0.35">
      <c r="A13" s="2">
        <v>45058</v>
      </c>
      <c r="B13" s="3">
        <v>325338</v>
      </c>
      <c r="C13" s="3">
        <v>16164</v>
      </c>
      <c r="D13" s="3">
        <f t="shared" si="0"/>
        <v>341502</v>
      </c>
      <c r="E13" s="4">
        <f t="shared" si="1"/>
        <v>3765.4861111111109</v>
      </c>
      <c r="F13" s="4">
        <f t="shared" si="1"/>
        <v>187.08333333333331</v>
      </c>
      <c r="G13" s="4">
        <f t="shared" si="2"/>
        <v>3952.5694444444443</v>
      </c>
      <c r="H13" s="3">
        <v>314545.00000000006</v>
      </c>
      <c r="I13" s="4">
        <f t="shared" si="3"/>
        <v>3640.56712962963</v>
      </c>
      <c r="J13" s="5">
        <f t="shared" si="4"/>
        <v>7.893658016644102E-2</v>
      </c>
      <c r="K13" s="7">
        <v>60.342393079302163</v>
      </c>
      <c r="L13" s="7">
        <v>18.566473758185452</v>
      </c>
      <c r="M13" s="3">
        <v>26760.000000001128</v>
      </c>
      <c r="N13" s="3">
        <v>6860.0000000001273</v>
      </c>
      <c r="O13" s="3">
        <f t="shared" si="5"/>
        <v>33620.000000001251</v>
      </c>
      <c r="P13" s="6">
        <f t="shared" si="7"/>
        <v>7.8359716780578528E-2</v>
      </c>
      <c r="Q13" s="6">
        <f t="shared" si="8"/>
        <v>2.00877300865006E-2</v>
      </c>
      <c r="R13" s="6">
        <f t="shared" si="9"/>
        <v>9.8447446867079111E-2</v>
      </c>
      <c r="S13" s="6">
        <f t="shared" si="6"/>
        <v>0.10333868161727573</v>
      </c>
    </row>
    <row r="14" spans="1:19" x14ac:dyDescent="0.35">
      <c r="A14" s="2">
        <v>45059</v>
      </c>
      <c r="B14" s="3">
        <v>327372</v>
      </c>
      <c r="C14" s="3">
        <v>10416</v>
      </c>
      <c r="D14" s="3">
        <f t="shared" si="0"/>
        <v>337788</v>
      </c>
      <c r="E14" s="4">
        <f t="shared" si="1"/>
        <v>3789.0277777777774</v>
      </c>
      <c r="F14" s="4">
        <f t="shared" si="1"/>
        <v>120.55555555555554</v>
      </c>
      <c r="G14" s="4">
        <f t="shared" si="2"/>
        <v>3909.583333333333</v>
      </c>
      <c r="H14" s="3">
        <v>311242.00000000006</v>
      </c>
      <c r="I14" s="4">
        <f t="shared" si="3"/>
        <v>3602.3379629629635</v>
      </c>
      <c r="J14" s="5">
        <f t="shared" si="4"/>
        <v>7.8587753265361535E-2</v>
      </c>
      <c r="K14" s="7">
        <v>61.611127158649147</v>
      </c>
      <c r="L14" s="7">
        <v>18.93820804962218</v>
      </c>
      <c r="M14" s="3">
        <v>25920.000000001892</v>
      </c>
      <c r="N14" s="3">
        <v>6000.0000000009095</v>
      </c>
      <c r="O14" s="3">
        <f t="shared" si="5"/>
        <v>31920.000000002801</v>
      </c>
      <c r="P14" s="6">
        <f t="shared" si="7"/>
        <v>7.6734519876377763E-2</v>
      </c>
      <c r="Q14" s="6">
        <f t="shared" si="8"/>
        <v>1.7762620341755509E-2</v>
      </c>
      <c r="R14" s="6">
        <f t="shared" si="9"/>
        <v>9.4497140218133269E-2</v>
      </c>
      <c r="S14" s="6">
        <f t="shared" si="6"/>
        <v>9.7503757193659821E-2</v>
      </c>
    </row>
    <row r="15" spans="1:19" x14ac:dyDescent="0.35">
      <c r="A15" s="2">
        <v>45060</v>
      </c>
      <c r="B15" s="3">
        <v>328861</v>
      </c>
      <c r="C15" s="3">
        <v>6737.0000000000009</v>
      </c>
      <c r="D15" s="3">
        <f t="shared" si="0"/>
        <v>335598</v>
      </c>
      <c r="E15" s="4">
        <f t="shared" si="1"/>
        <v>3806.2615740740739</v>
      </c>
      <c r="F15" s="4">
        <f t="shared" si="1"/>
        <v>77.974537037037038</v>
      </c>
      <c r="G15" s="4">
        <f t="shared" si="2"/>
        <v>3884.2361111111109</v>
      </c>
      <c r="H15" s="3">
        <v>311313.00000000006</v>
      </c>
      <c r="I15" s="4">
        <f t="shared" si="3"/>
        <v>3603.1597222222226</v>
      </c>
      <c r="J15" s="5">
        <f t="shared" si="4"/>
        <v>7.2363363309673898E-2</v>
      </c>
      <c r="K15" s="7">
        <v>59.810545416438053</v>
      </c>
      <c r="L15" s="7">
        <v>19.061792444131896</v>
      </c>
      <c r="M15" s="3">
        <v>26039.999999999964</v>
      </c>
      <c r="N15" s="3">
        <v>5999.9999999995453</v>
      </c>
      <c r="O15" s="3">
        <f t="shared" si="5"/>
        <v>32039.999999999509</v>
      </c>
      <c r="P15" s="6">
        <f t="shared" si="7"/>
        <v>7.7592834283875242E-2</v>
      </c>
      <c r="Q15" s="6">
        <f t="shared" si="8"/>
        <v>1.7878533245131216E-2</v>
      </c>
      <c r="R15" s="6">
        <f t="shared" si="9"/>
        <v>9.5471367529006451E-2</v>
      </c>
      <c r="S15" s="6">
        <f t="shared" si="6"/>
        <v>9.7427180480505471E-2</v>
      </c>
    </row>
    <row r="16" spans="1:19" x14ac:dyDescent="0.35">
      <c r="A16" s="2">
        <v>45061</v>
      </c>
      <c r="B16" s="3">
        <v>331873</v>
      </c>
      <c r="C16" s="3">
        <v>13164.999999999998</v>
      </c>
      <c r="D16" s="3">
        <f t="shared" si="0"/>
        <v>345038</v>
      </c>
      <c r="E16" s="4">
        <f t="shared" si="1"/>
        <v>3841.1226851851848</v>
      </c>
      <c r="F16" s="4">
        <f t="shared" si="1"/>
        <v>152.37268518518516</v>
      </c>
      <c r="G16" s="4">
        <f t="shared" si="2"/>
        <v>3993.49537037037</v>
      </c>
      <c r="H16" s="3">
        <v>315555.00000000006</v>
      </c>
      <c r="I16" s="4">
        <f t="shared" si="3"/>
        <v>3652.2569444444448</v>
      </c>
      <c r="J16" s="5">
        <f t="shared" si="4"/>
        <v>8.5448559289121609E-2</v>
      </c>
      <c r="K16" s="7">
        <v>56.938407390977197</v>
      </c>
      <c r="L16" s="7">
        <v>18.376201813620089</v>
      </c>
      <c r="M16" s="3">
        <v>24919.999999998254</v>
      </c>
      <c r="N16" s="3">
        <v>6499.9999999995453</v>
      </c>
      <c r="O16" s="3">
        <f t="shared" si="5"/>
        <v>31419.999999997799</v>
      </c>
      <c r="P16" s="6">
        <f t="shared" si="7"/>
        <v>7.2223928958544431E-2</v>
      </c>
      <c r="Q16" s="6">
        <f t="shared" si="8"/>
        <v>1.8838504744403645E-2</v>
      </c>
      <c r="R16" s="6">
        <f t="shared" si="9"/>
        <v>9.1062433702948073E-2</v>
      </c>
      <c r="S16" s="6">
        <f t="shared" si="6"/>
        <v>9.4674770168099845E-2</v>
      </c>
    </row>
    <row r="17" spans="1:19" x14ac:dyDescent="0.35">
      <c r="A17" s="2">
        <v>45062</v>
      </c>
      <c r="B17" s="3">
        <v>333560</v>
      </c>
      <c r="C17" s="3">
        <v>19214</v>
      </c>
      <c r="D17" s="3">
        <f t="shared" si="0"/>
        <v>352774</v>
      </c>
      <c r="E17" s="4">
        <f t="shared" si="1"/>
        <v>3860.6481481481478</v>
      </c>
      <c r="F17" s="4">
        <f t="shared" si="1"/>
        <v>222.38425925925924</v>
      </c>
      <c r="G17" s="4">
        <f t="shared" si="2"/>
        <v>4083.0324074074069</v>
      </c>
      <c r="H17" s="3">
        <v>327727</v>
      </c>
      <c r="I17" s="4">
        <f t="shared" si="3"/>
        <v>3793.1365740740739</v>
      </c>
      <c r="J17" s="5">
        <f t="shared" si="4"/>
        <v>7.1000130395097144E-2</v>
      </c>
      <c r="K17" s="7">
        <v>58.49668989976562</v>
      </c>
      <c r="L17" s="7">
        <v>18.583035083934679</v>
      </c>
      <c r="M17" s="3">
        <v>32560.00000000131</v>
      </c>
      <c r="N17" s="3">
        <v>6740.0000000002365</v>
      </c>
      <c r="O17" s="3">
        <f t="shared" si="5"/>
        <v>39300.000000001543</v>
      </c>
      <c r="P17" s="6">
        <f t="shared" si="7"/>
        <v>9.2297051370002631E-2</v>
      </c>
      <c r="Q17" s="6">
        <f t="shared" si="8"/>
        <v>1.9105716407672439E-2</v>
      </c>
      <c r="R17" s="6">
        <f t="shared" si="9"/>
        <v>0.11140276777767506</v>
      </c>
      <c r="S17" s="6">
        <f t="shared" si="6"/>
        <v>0.11781988247991829</v>
      </c>
    </row>
    <row r="18" spans="1:19" x14ac:dyDescent="0.35">
      <c r="A18" s="2">
        <v>45063</v>
      </c>
      <c r="B18" s="3">
        <v>331659</v>
      </c>
      <c r="C18" s="3">
        <v>23513</v>
      </c>
      <c r="D18" s="3">
        <f t="shared" si="0"/>
        <v>355172</v>
      </c>
      <c r="E18" s="4">
        <f t="shared" si="1"/>
        <v>3838.645833333333</v>
      </c>
      <c r="F18" s="4">
        <f t="shared" si="1"/>
        <v>272.1412037037037</v>
      </c>
      <c r="G18" s="4">
        <f t="shared" si="2"/>
        <v>4110.7870370370365</v>
      </c>
      <c r="H18" s="3">
        <v>328986</v>
      </c>
      <c r="I18" s="4">
        <f t="shared" si="3"/>
        <v>3807.708333333333</v>
      </c>
      <c r="J18" s="5">
        <f t="shared" si="4"/>
        <v>7.3727658711835398E-2</v>
      </c>
      <c r="K18" s="7">
        <v>57.153704457791925</v>
      </c>
      <c r="L18" s="7">
        <v>18.234420279985116</v>
      </c>
      <c r="M18" s="3">
        <v>36160.000000000764</v>
      </c>
      <c r="N18" s="3">
        <v>7520.0000000008913</v>
      </c>
      <c r="O18" s="3">
        <f t="shared" si="5"/>
        <v>43680.000000001659</v>
      </c>
      <c r="P18" s="6">
        <f t="shared" si="7"/>
        <v>0.10180982735125732</v>
      </c>
      <c r="Q18" s="6">
        <f t="shared" si="8"/>
        <v>2.1172840201369735E-2</v>
      </c>
      <c r="R18" s="6">
        <f t="shared" si="9"/>
        <v>0.12298266755262706</v>
      </c>
      <c r="S18" s="6">
        <f t="shared" si="6"/>
        <v>0.13170153681944907</v>
      </c>
    </row>
    <row r="19" spans="1:19" x14ac:dyDescent="0.35">
      <c r="A19" s="2">
        <v>45064</v>
      </c>
      <c r="B19" s="3">
        <v>329160</v>
      </c>
      <c r="C19" s="3">
        <v>23706</v>
      </c>
      <c r="D19" s="3">
        <f t="shared" si="0"/>
        <v>352866</v>
      </c>
      <c r="E19" s="4">
        <f t="shared" si="1"/>
        <v>3809.7222222222222</v>
      </c>
      <c r="F19" s="4">
        <f t="shared" si="1"/>
        <v>274.375</v>
      </c>
      <c r="G19" s="4">
        <f t="shared" si="2"/>
        <v>4084.0972222222222</v>
      </c>
      <c r="H19" s="3">
        <v>325338</v>
      </c>
      <c r="I19" s="4">
        <f t="shared" si="3"/>
        <v>3765.4861111111109</v>
      </c>
      <c r="J19" s="5">
        <f t="shared" si="4"/>
        <v>7.8012616687354402E-2</v>
      </c>
      <c r="K19" s="7">
        <v>55.228188373375609</v>
      </c>
      <c r="L19" s="7">
        <v>18.610276758201579</v>
      </c>
      <c r="M19" s="3">
        <v>36680.000000000291</v>
      </c>
      <c r="N19" s="3">
        <v>4380.0000000001091</v>
      </c>
      <c r="O19" s="3">
        <f t="shared" si="5"/>
        <v>41060.0000000004</v>
      </c>
      <c r="P19" s="6">
        <f t="shared" si="7"/>
        <v>0.10394880776272095</v>
      </c>
      <c r="Q19" s="6">
        <f t="shared" si="8"/>
        <v>1.241264389314955E-2</v>
      </c>
      <c r="R19" s="6">
        <f t="shared" si="9"/>
        <v>0.1163614516558705</v>
      </c>
      <c r="S19" s="6">
        <f t="shared" si="6"/>
        <v>0.12474176692186292</v>
      </c>
    </row>
    <row r="20" spans="1:19" x14ac:dyDescent="0.35">
      <c r="A20" s="2">
        <v>45065</v>
      </c>
      <c r="B20" s="3">
        <v>328068</v>
      </c>
      <c r="C20" s="3">
        <v>29669</v>
      </c>
      <c r="D20" s="3">
        <f t="shared" si="0"/>
        <v>357737</v>
      </c>
      <c r="E20" s="4">
        <f t="shared" si="1"/>
        <v>3797.083333333333</v>
      </c>
      <c r="F20" s="4">
        <f t="shared" si="1"/>
        <v>343.3912037037037</v>
      </c>
      <c r="G20" s="4">
        <f t="shared" si="2"/>
        <v>4140.4745370370365</v>
      </c>
      <c r="H20" s="3">
        <v>328115.00000000006</v>
      </c>
      <c r="I20" s="4">
        <f t="shared" si="3"/>
        <v>3797.6273148148152</v>
      </c>
      <c r="J20" s="5">
        <f t="shared" si="4"/>
        <v>8.2803847519266782E-2</v>
      </c>
      <c r="K20" s="7">
        <v>60.127520524053821</v>
      </c>
      <c r="L20" s="7">
        <v>20.350813054600003</v>
      </c>
      <c r="M20" s="3">
        <v>36719.999999996617</v>
      </c>
      <c r="N20" s="3">
        <v>9859.9999999992178</v>
      </c>
      <c r="O20" s="3">
        <f t="shared" si="5"/>
        <v>46579.999999995838</v>
      </c>
      <c r="P20" s="6">
        <f t="shared" si="7"/>
        <v>0.10264523937975836</v>
      </c>
      <c r="Q20" s="6">
        <f t="shared" si="8"/>
        <v>2.7562147611231765E-2</v>
      </c>
      <c r="R20" s="6">
        <f t="shared" si="9"/>
        <v>0.13020738699099013</v>
      </c>
      <c r="S20" s="6">
        <f t="shared" si="6"/>
        <v>0.14198275967176269</v>
      </c>
    </row>
    <row r="21" spans="1:19" x14ac:dyDescent="0.35">
      <c r="A21" s="2">
        <v>45066</v>
      </c>
      <c r="B21" s="3">
        <v>329483</v>
      </c>
      <c r="C21" s="3">
        <v>19814</v>
      </c>
      <c r="D21" s="3">
        <f t="shared" si="0"/>
        <v>349297</v>
      </c>
      <c r="E21" s="4">
        <f t="shared" si="1"/>
        <v>3813.4606481481478</v>
      </c>
      <c r="F21" s="4">
        <f t="shared" si="1"/>
        <v>229.3287037037037</v>
      </c>
      <c r="G21" s="4">
        <f t="shared" si="2"/>
        <v>4042.7893518518513</v>
      </c>
      <c r="H21" s="3">
        <v>323293</v>
      </c>
      <c r="I21" s="4">
        <f t="shared" si="3"/>
        <v>3741.8171296296296</v>
      </c>
      <c r="J21" s="5">
        <f t="shared" si="4"/>
        <v>7.4446674320134437E-2</v>
      </c>
      <c r="K21" s="7">
        <v>53.559780959222216</v>
      </c>
      <c r="L21" s="7">
        <v>20.842546055973688</v>
      </c>
      <c r="M21" s="3">
        <v>34960.000000001855</v>
      </c>
      <c r="N21" s="3">
        <v>6820.0000000001637</v>
      </c>
      <c r="O21" s="3">
        <f t="shared" si="5"/>
        <v>41780.000000002023</v>
      </c>
      <c r="P21" s="6">
        <f t="shared" si="7"/>
        <v>0.10008674566343786</v>
      </c>
      <c r="Q21" s="6">
        <f t="shared" si="8"/>
        <v>1.9524931505281076E-2</v>
      </c>
      <c r="R21" s="6">
        <f t="shared" si="9"/>
        <v>0.11961167716871896</v>
      </c>
      <c r="S21" s="6">
        <f t="shared" si="6"/>
        <v>0.12680472133616005</v>
      </c>
    </row>
    <row r="22" spans="1:19" x14ac:dyDescent="0.35">
      <c r="A22" s="2">
        <v>45067</v>
      </c>
      <c r="B22" s="3">
        <v>328199</v>
      </c>
      <c r="C22" s="3">
        <v>19598</v>
      </c>
      <c r="D22" s="3">
        <f t="shared" si="0"/>
        <v>347797</v>
      </c>
      <c r="E22" s="4">
        <f t="shared" si="1"/>
        <v>3798.599537037037</v>
      </c>
      <c r="F22" s="4">
        <f t="shared" si="1"/>
        <v>226.8287037037037</v>
      </c>
      <c r="G22" s="4">
        <f t="shared" si="2"/>
        <v>4025.4282407407409</v>
      </c>
      <c r="H22" s="3">
        <v>324548</v>
      </c>
      <c r="I22" s="4">
        <f t="shared" si="3"/>
        <v>3756.3425925925922</v>
      </c>
      <c r="J22" s="5">
        <f t="shared" si="4"/>
        <v>6.6846465035638611E-2</v>
      </c>
      <c r="K22" s="7">
        <v>55.314502964494125</v>
      </c>
      <c r="L22" s="7">
        <v>20.248796029471634</v>
      </c>
      <c r="M22" s="3">
        <v>36240.000000000691</v>
      </c>
      <c r="N22" s="3">
        <v>6079.9999999994725</v>
      </c>
      <c r="O22" s="3">
        <f t="shared" si="5"/>
        <v>42320.00000000016</v>
      </c>
      <c r="P22" s="6">
        <f t="shared" si="7"/>
        <v>0.10419871361742825</v>
      </c>
      <c r="Q22" s="6">
        <f t="shared" si="8"/>
        <v>1.7481461887248806E-2</v>
      </c>
      <c r="R22" s="6">
        <f t="shared" si="9"/>
        <v>0.12168017550467704</v>
      </c>
      <c r="S22" s="6">
        <f t="shared" si="6"/>
        <v>0.12894615766653816</v>
      </c>
    </row>
    <row r="23" spans="1:19" x14ac:dyDescent="0.35">
      <c r="A23" s="2">
        <v>45068</v>
      </c>
      <c r="B23" s="3">
        <v>330285</v>
      </c>
      <c r="C23" s="3">
        <v>26439.999999999996</v>
      </c>
      <c r="D23" s="3">
        <f t="shared" si="0"/>
        <v>356725</v>
      </c>
      <c r="E23" s="4">
        <f t="shared" si="1"/>
        <v>3822.7430555555552</v>
      </c>
      <c r="F23" s="4">
        <f t="shared" si="1"/>
        <v>306.01851851851848</v>
      </c>
      <c r="G23" s="4">
        <f t="shared" si="2"/>
        <v>4128.7615740740739</v>
      </c>
      <c r="H23" s="3">
        <v>328905</v>
      </c>
      <c r="I23" s="4">
        <f t="shared" si="3"/>
        <v>3806.770833333333</v>
      </c>
      <c r="J23" s="5">
        <f t="shared" si="4"/>
        <v>7.7987245076739792E-2</v>
      </c>
      <c r="K23" s="7">
        <v>50.123588536845446</v>
      </c>
      <c r="L23" s="7">
        <v>17.901120248948601</v>
      </c>
      <c r="M23" s="3">
        <v>41600.000000001273</v>
      </c>
      <c r="N23" s="3">
        <v>8620.0000000012551</v>
      </c>
      <c r="O23" s="3">
        <f t="shared" si="5"/>
        <v>50220.000000002532</v>
      </c>
      <c r="P23" s="6">
        <f t="shared" si="7"/>
        <v>0.11661644123624998</v>
      </c>
      <c r="Q23" s="6">
        <f t="shared" si="8"/>
        <v>2.4164272198475729E-2</v>
      </c>
      <c r="R23" s="6">
        <f t="shared" si="9"/>
        <v>0.14078071343472573</v>
      </c>
      <c r="S23" s="6">
        <f t="shared" si="6"/>
        <v>0.15205050183932825</v>
      </c>
    </row>
    <row r="24" spans="1:19" x14ac:dyDescent="0.35">
      <c r="A24" s="2">
        <v>45069</v>
      </c>
      <c r="B24" s="3">
        <v>326276</v>
      </c>
      <c r="C24" s="3">
        <v>31474</v>
      </c>
      <c r="D24" s="3">
        <f t="shared" si="0"/>
        <v>357750</v>
      </c>
      <c r="E24" s="4">
        <f t="shared" si="1"/>
        <v>3776.3425925925922</v>
      </c>
      <c r="F24" s="4">
        <f t="shared" si="1"/>
        <v>364.28240740740739</v>
      </c>
      <c r="G24" s="4">
        <f t="shared" si="2"/>
        <v>4140.625</v>
      </c>
      <c r="H24" s="3">
        <v>325152</v>
      </c>
      <c r="I24" s="4">
        <f t="shared" si="3"/>
        <v>3763.333333333333</v>
      </c>
      <c r="J24" s="5">
        <f t="shared" si="4"/>
        <v>9.1119496855345913E-2</v>
      </c>
      <c r="K24" s="7">
        <v>53.994226303320282</v>
      </c>
      <c r="L24" s="7">
        <v>17.343453034389444</v>
      </c>
      <c r="M24" s="3">
        <v>31560.0000000004</v>
      </c>
      <c r="N24" s="3">
        <v>8299.9999999992724</v>
      </c>
      <c r="O24" s="3">
        <f t="shared" si="5"/>
        <v>39859.999999999673</v>
      </c>
      <c r="P24" s="6">
        <f t="shared" si="7"/>
        <v>8.8218029350105934E-2</v>
      </c>
      <c r="Q24" s="6">
        <f t="shared" si="8"/>
        <v>2.3200559049613621E-2</v>
      </c>
      <c r="R24" s="6">
        <f t="shared" si="9"/>
        <v>0.11141858839971956</v>
      </c>
      <c r="S24" s="6">
        <f t="shared" si="6"/>
        <v>0.12216650933565347</v>
      </c>
    </row>
    <row r="25" spans="1:19" x14ac:dyDescent="0.35">
      <c r="A25" s="2">
        <v>45070</v>
      </c>
      <c r="B25" s="3">
        <v>335305</v>
      </c>
      <c r="C25" s="3">
        <v>21343</v>
      </c>
      <c r="D25" s="3">
        <f t="shared" si="0"/>
        <v>356648</v>
      </c>
      <c r="E25" s="4">
        <f t="shared" si="1"/>
        <v>3880.8449074074069</v>
      </c>
      <c r="F25" s="4">
        <f t="shared" si="1"/>
        <v>247.02546296296293</v>
      </c>
      <c r="G25" s="4">
        <f t="shared" si="2"/>
        <v>4127.8703703703695</v>
      </c>
      <c r="H25" s="3">
        <v>329506</v>
      </c>
      <c r="I25" s="4">
        <f t="shared" si="3"/>
        <v>3813.7268518518517</v>
      </c>
      <c r="J25" s="5">
        <f t="shared" si="4"/>
        <v>7.6103048383840646E-2</v>
      </c>
      <c r="K25" s="7">
        <v>54.989907862229771</v>
      </c>
      <c r="L25" s="7">
        <v>18.49229399354131</v>
      </c>
      <c r="M25" s="3">
        <v>36159.999999996217</v>
      </c>
      <c r="N25" s="3">
        <v>6839.9999999996908</v>
      </c>
      <c r="O25" s="3">
        <f t="shared" si="5"/>
        <v>42999.999999995911</v>
      </c>
      <c r="P25" s="6">
        <f t="shared" si="7"/>
        <v>0.10138848388325805</v>
      </c>
      <c r="Q25" s="6">
        <f t="shared" si="8"/>
        <v>1.9178573831900615E-2</v>
      </c>
      <c r="R25" s="6">
        <f t="shared" si="9"/>
        <v>0.12056705771515867</v>
      </c>
      <c r="S25" s="6">
        <f t="shared" si="6"/>
        <v>0.1282414518125167</v>
      </c>
    </row>
    <row r="26" spans="1:19" x14ac:dyDescent="0.35">
      <c r="A26" s="2">
        <v>45071</v>
      </c>
      <c r="B26" s="3">
        <v>335226</v>
      </c>
      <c r="C26" s="3">
        <v>17387</v>
      </c>
      <c r="D26" s="3">
        <f t="shared" si="0"/>
        <v>352613</v>
      </c>
      <c r="E26" s="4">
        <f t="shared" si="1"/>
        <v>3879.9305555555552</v>
      </c>
      <c r="F26" s="4">
        <f t="shared" si="1"/>
        <v>201.23842592592592</v>
      </c>
      <c r="G26" s="4">
        <f t="shared" si="2"/>
        <v>4081.1689814814813</v>
      </c>
      <c r="H26" s="3">
        <v>325672</v>
      </c>
      <c r="I26" s="4">
        <f t="shared" si="3"/>
        <v>3769.3518518518517</v>
      </c>
      <c r="J26" s="5">
        <f t="shared" si="4"/>
        <v>7.6403876204223897E-2</v>
      </c>
      <c r="K26" s="7">
        <v>51.659765120631896</v>
      </c>
      <c r="L26" s="7">
        <v>17.708503011974525</v>
      </c>
      <c r="M26" s="3">
        <v>35040.000000001783</v>
      </c>
      <c r="N26" s="3">
        <v>7159.9999999998545</v>
      </c>
      <c r="O26" s="3">
        <f t="shared" si="5"/>
        <v>42200.000000001637</v>
      </c>
      <c r="P26" s="6">
        <f t="shared" si="7"/>
        <v>9.9372399769724271E-2</v>
      </c>
      <c r="Q26" s="6">
        <f t="shared" si="8"/>
        <v>2.030554744152897E-2</v>
      </c>
      <c r="R26" s="6">
        <f t="shared" si="9"/>
        <v>0.11967794721125323</v>
      </c>
      <c r="S26" s="6">
        <f t="shared" si="6"/>
        <v>0.12588522369983723</v>
      </c>
    </row>
    <row r="27" spans="1:19" x14ac:dyDescent="0.35">
      <c r="A27" s="2">
        <v>45072</v>
      </c>
      <c r="B27" s="3">
        <v>334700</v>
      </c>
      <c r="C27" s="3">
        <v>21367</v>
      </c>
      <c r="D27" s="3">
        <f t="shared" si="0"/>
        <v>356067</v>
      </c>
      <c r="E27" s="4">
        <f t="shared" si="1"/>
        <v>3873.8425925925922</v>
      </c>
      <c r="F27" s="4">
        <f t="shared" si="1"/>
        <v>247.30324074074073</v>
      </c>
      <c r="G27" s="4">
        <f t="shared" si="2"/>
        <v>4121.145833333333</v>
      </c>
      <c r="H27" s="3">
        <v>326378</v>
      </c>
      <c r="I27" s="4">
        <f t="shared" si="3"/>
        <v>3777.5231481481478</v>
      </c>
      <c r="J27" s="5">
        <f t="shared" si="4"/>
        <v>8.3380375041775839E-2</v>
      </c>
      <c r="K27" s="7">
        <v>55.433453868617278</v>
      </c>
      <c r="L27" s="7">
        <v>21.811533314564205</v>
      </c>
      <c r="M27" s="3">
        <v>35439.9999999996</v>
      </c>
      <c r="N27" s="3">
        <v>7539.9999999999636</v>
      </c>
      <c r="O27" s="3">
        <f t="shared" si="5"/>
        <v>42979.999999999563</v>
      </c>
      <c r="P27" s="6">
        <f t="shared" si="7"/>
        <v>9.9531829683738166E-2</v>
      </c>
      <c r="Q27" s="6">
        <f t="shared" si="8"/>
        <v>2.1175789949644207E-2</v>
      </c>
      <c r="R27" s="6">
        <f t="shared" si="9"/>
        <v>0.12070761963338238</v>
      </c>
      <c r="S27" s="6">
        <f t="shared" si="6"/>
        <v>0.12841350463101153</v>
      </c>
    </row>
    <row r="28" spans="1:19" x14ac:dyDescent="0.35">
      <c r="A28" s="2">
        <v>45073</v>
      </c>
      <c r="B28" s="3">
        <v>335480</v>
      </c>
      <c r="C28" s="3">
        <v>15967</v>
      </c>
      <c r="D28" s="3">
        <f t="shared" si="0"/>
        <v>351447</v>
      </c>
      <c r="E28" s="4">
        <f t="shared" si="1"/>
        <v>3882.87037037037</v>
      </c>
      <c r="F28" s="4">
        <f t="shared" si="1"/>
        <v>184.80324074074073</v>
      </c>
      <c r="G28" s="4">
        <f t="shared" si="2"/>
        <v>4067.6736111111109</v>
      </c>
      <c r="H28" s="3">
        <v>324461</v>
      </c>
      <c r="I28" s="4">
        <f t="shared" si="3"/>
        <v>3755.3356481481478</v>
      </c>
      <c r="J28" s="5">
        <f t="shared" si="4"/>
        <v>7.6785404342617811E-2</v>
      </c>
      <c r="K28" s="7">
        <v>53.567273246285502</v>
      </c>
      <c r="L28" s="7">
        <v>20.314415921681803</v>
      </c>
      <c r="M28" s="3">
        <v>43159.999999998945</v>
      </c>
      <c r="N28" s="3">
        <v>5960.0000000000364</v>
      </c>
      <c r="O28" s="3">
        <f t="shared" si="5"/>
        <v>49119.999999998981</v>
      </c>
      <c r="P28" s="6">
        <f t="shared" si="7"/>
        <v>0.12280656827344932</v>
      </c>
      <c r="Q28" s="6">
        <f t="shared" si="8"/>
        <v>1.6958460308382307E-2</v>
      </c>
      <c r="R28" s="6">
        <f t="shared" si="9"/>
        <v>0.13976502858183162</v>
      </c>
      <c r="S28" s="6">
        <f t="shared" si="6"/>
        <v>0.14641707404315901</v>
      </c>
    </row>
    <row r="29" spans="1:19" x14ac:dyDescent="0.35">
      <c r="A29" s="2">
        <v>45074</v>
      </c>
      <c r="B29" s="3">
        <v>334538</v>
      </c>
      <c r="C29" s="3">
        <v>17494</v>
      </c>
      <c r="D29" s="3">
        <f t="shared" si="0"/>
        <v>352032</v>
      </c>
      <c r="E29" s="4">
        <f t="shared" si="1"/>
        <v>3871.9675925925922</v>
      </c>
      <c r="F29" s="4">
        <f t="shared" si="1"/>
        <v>202.47685185185185</v>
      </c>
      <c r="G29" s="4">
        <f t="shared" si="2"/>
        <v>4074.4444444444439</v>
      </c>
      <c r="H29" s="3">
        <v>325504.99999999994</v>
      </c>
      <c r="I29" s="4">
        <f t="shared" si="3"/>
        <v>3767.4189814814804</v>
      </c>
      <c r="J29" s="5">
        <f t="shared" si="4"/>
        <v>7.5353945095900543E-2</v>
      </c>
      <c r="K29" s="7">
        <v>53.926458980043897</v>
      </c>
      <c r="L29" s="7">
        <v>20.728860613531779</v>
      </c>
      <c r="M29" s="3">
        <v>27519.999999999527</v>
      </c>
      <c r="N29" s="3">
        <v>5900.0000000010004</v>
      </c>
      <c r="O29" s="3">
        <f t="shared" si="5"/>
        <v>33420.000000000524</v>
      </c>
      <c r="P29" s="6">
        <f t="shared" si="7"/>
        <v>7.8174711389872309E-2</v>
      </c>
      <c r="Q29" s="6">
        <f t="shared" si="8"/>
        <v>1.6759840014546973E-2</v>
      </c>
      <c r="R29" s="6">
        <f t="shared" si="9"/>
        <v>9.4934551404419268E-2</v>
      </c>
      <c r="S29" s="6">
        <f t="shared" si="6"/>
        <v>9.9898965139985668E-2</v>
      </c>
    </row>
    <row r="30" spans="1:19" x14ac:dyDescent="0.35">
      <c r="A30" s="2">
        <v>45075</v>
      </c>
      <c r="B30" s="3">
        <v>330220</v>
      </c>
      <c r="C30" s="3">
        <v>25511</v>
      </c>
      <c r="D30" s="3">
        <f t="shared" si="0"/>
        <v>355731</v>
      </c>
      <c r="E30" s="4">
        <f t="shared" si="1"/>
        <v>3821.9907407407404</v>
      </c>
      <c r="F30" s="4">
        <f t="shared" si="1"/>
        <v>295.2662037037037</v>
      </c>
      <c r="G30" s="4">
        <f t="shared" si="2"/>
        <v>4117.2569444444443</v>
      </c>
      <c r="H30" s="3">
        <v>328693.00000000006</v>
      </c>
      <c r="I30" s="4">
        <f t="shared" si="3"/>
        <v>3804.31712962963</v>
      </c>
      <c r="J30" s="5">
        <f t="shared" si="4"/>
        <v>7.6006870359906623E-2</v>
      </c>
      <c r="K30" s="7">
        <v>53.599655889480118</v>
      </c>
      <c r="L30" s="7">
        <v>19.144700252552195</v>
      </c>
      <c r="M30" s="3">
        <v>35520.000000000437</v>
      </c>
      <c r="N30" s="3">
        <v>7579.999999998563</v>
      </c>
      <c r="O30" s="3">
        <f t="shared" si="5"/>
        <v>43099.999999998996</v>
      </c>
      <c r="P30" s="6">
        <f t="shared" si="7"/>
        <v>9.9850729905463495E-2</v>
      </c>
      <c r="Q30" s="6">
        <f t="shared" si="8"/>
        <v>2.1308235717434138E-2</v>
      </c>
      <c r="R30" s="6">
        <f t="shared" si="9"/>
        <v>0.12115896562289763</v>
      </c>
      <c r="S30" s="6">
        <f t="shared" si="6"/>
        <v>0.13051904790745258</v>
      </c>
    </row>
    <row r="31" spans="1:19" x14ac:dyDescent="0.35">
      <c r="A31" s="2">
        <v>45076</v>
      </c>
      <c r="B31" s="3">
        <v>329823</v>
      </c>
      <c r="C31" s="3">
        <v>25290</v>
      </c>
      <c r="D31" s="3">
        <f t="shared" si="0"/>
        <v>355113</v>
      </c>
      <c r="E31" s="4">
        <f t="shared" si="1"/>
        <v>3817.395833333333</v>
      </c>
      <c r="F31" s="4">
        <f t="shared" si="1"/>
        <v>292.70833333333331</v>
      </c>
      <c r="G31" s="4">
        <f t="shared" si="2"/>
        <v>4110.1041666666661</v>
      </c>
      <c r="H31" s="3">
        <v>329090.00000000006</v>
      </c>
      <c r="I31" s="4">
        <f t="shared" si="3"/>
        <v>3808.9120370370374</v>
      </c>
      <c r="J31" s="5">
        <f t="shared" si="4"/>
        <v>7.3280899319371415E-2</v>
      </c>
      <c r="K31" s="7">
        <v>53.589575177443898</v>
      </c>
      <c r="L31" s="7">
        <v>20.947560375845541</v>
      </c>
      <c r="M31" s="3">
        <v>36240.00000000251</v>
      </c>
      <c r="N31" s="3">
        <v>6238.0000000002838</v>
      </c>
      <c r="O31" s="3">
        <f t="shared" si="5"/>
        <v>42478.000000002794</v>
      </c>
      <c r="P31" s="6">
        <f t="shared" si="7"/>
        <v>0.10205202287723207</v>
      </c>
      <c r="Q31" s="6">
        <f t="shared" si="8"/>
        <v>1.7566239478701944E-2</v>
      </c>
      <c r="R31" s="6">
        <f t="shared" si="9"/>
        <v>0.11961826235593401</v>
      </c>
      <c r="S31" s="6">
        <f t="shared" si="6"/>
        <v>0.12879029054978819</v>
      </c>
    </row>
    <row r="32" spans="1:19" x14ac:dyDescent="0.35">
      <c r="A32" s="2">
        <v>45077</v>
      </c>
      <c r="B32" s="3">
        <v>329804</v>
      </c>
      <c r="C32" s="3">
        <v>20016</v>
      </c>
      <c r="D32" s="3">
        <f t="shared" si="0"/>
        <v>349820</v>
      </c>
      <c r="E32" s="4">
        <f t="shared" si="1"/>
        <v>3817.1759259259256</v>
      </c>
      <c r="F32" s="4">
        <f t="shared" si="1"/>
        <v>231.66666666666666</v>
      </c>
      <c r="G32" s="4">
        <f t="shared" si="2"/>
        <v>4048.8425925925922</v>
      </c>
      <c r="H32" s="3">
        <v>322922</v>
      </c>
      <c r="I32" s="4">
        <f t="shared" si="3"/>
        <v>3737.5231481481478</v>
      </c>
      <c r="J32" s="5">
        <f t="shared" si="4"/>
        <v>7.6890972500142929E-2</v>
      </c>
      <c r="K32" s="7">
        <v>55.891022308442651</v>
      </c>
      <c r="L32" s="7">
        <v>20.58388133495793</v>
      </c>
      <c r="M32" s="3">
        <v>31519.999999999527</v>
      </c>
      <c r="N32" s="3">
        <v>8842.0000000000982</v>
      </c>
      <c r="O32" s="3">
        <f t="shared" si="5"/>
        <v>40361.999999999622</v>
      </c>
      <c r="P32" s="6">
        <f t="shared" si="7"/>
        <v>9.0103481790633835E-2</v>
      </c>
      <c r="Q32" s="6">
        <f t="shared" si="8"/>
        <v>2.5275856154594073E-2</v>
      </c>
      <c r="R32" s="6">
        <f t="shared" si="9"/>
        <v>0.11537933794522789</v>
      </c>
      <c r="S32" s="6">
        <f t="shared" si="6"/>
        <v>0.12238177826830367</v>
      </c>
    </row>
    <row r="33" spans="1:19" x14ac:dyDescent="0.35">
      <c r="A33" s="2">
        <v>45078</v>
      </c>
      <c r="B33" s="3">
        <v>329140</v>
      </c>
      <c r="C33" s="3">
        <v>15596</v>
      </c>
      <c r="D33" s="3">
        <f t="shared" si="0"/>
        <v>344736</v>
      </c>
      <c r="E33" s="4">
        <f t="shared" si="1"/>
        <v>3809.4907407407404</v>
      </c>
      <c r="F33" s="4">
        <f t="shared" si="1"/>
        <v>180.50925925925924</v>
      </c>
      <c r="G33" s="4">
        <f t="shared" si="2"/>
        <v>3989.9999999999995</v>
      </c>
      <c r="H33" s="3">
        <v>317782</v>
      </c>
      <c r="I33" s="4">
        <f t="shared" si="3"/>
        <v>3678.0324074074074</v>
      </c>
      <c r="J33" s="5">
        <f t="shared" si="4"/>
        <v>7.8187366564559546E-2</v>
      </c>
      <c r="K33" s="7">
        <v>49.836733111718907</v>
      </c>
      <c r="L33" s="7">
        <v>17.30846800450643</v>
      </c>
      <c r="M33" s="3">
        <v>28199.999999997999</v>
      </c>
      <c r="N33" s="3">
        <v>6360.0000000005821</v>
      </c>
      <c r="O33" s="3">
        <f t="shared" si="5"/>
        <v>34559.999999998581</v>
      </c>
      <c r="P33" s="6">
        <f t="shared" si="7"/>
        <v>8.1801726538562838E-2</v>
      </c>
      <c r="Q33" s="6">
        <f t="shared" si="8"/>
        <v>1.8448900027849085E-2</v>
      </c>
      <c r="R33" s="6">
        <f t="shared" si="9"/>
        <v>0.10025062656641193</v>
      </c>
      <c r="S33" s="6">
        <f t="shared" si="6"/>
        <v>0.10500091146624106</v>
      </c>
    </row>
    <row r="34" spans="1:19" x14ac:dyDescent="0.35">
      <c r="A34" s="2">
        <v>45079</v>
      </c>
      <c r="B34" s="3">
        <v>328789</v>
      </c>
      <c r="C34" s="3">
        <v>15714</v>
      </c>
      <c r="D34" s="3">
        <f t="shared" si="0"/>
        <v>344503</v>
      </c>
      <c r="E34" s="4">
        <f t="shared" si="1"/>
        <v>3805.4282407407404</v>
      </c>
      <c r="F34" s="4">
        <f t="shared" si="1"/>
        <v>181.875</v>
      </c>
      <c r="G34" s="4">
        <f t="shared" si="2"/>
        <v>3987.3032407407404</v>
      </c>
      <c r="H34" s="3">
        <v>317510</v>
      </c>
      <c r="I34" s="4">
        <f t="shared" si="3"/>
        <v>3674.8842592592591</v>
      </c>
      <c r="J34" s="5">
        <f t="shared" si="4"/>
        <v>7.8353454106350306E-2</v>
      </c>
      <c r="K34" s="7">
        <v>55.709549450504404</v>
      </c>
      <c r="L34" s="7">
        <v>20.048019652505552</v>
      </c>
      <c r="M34" s="3">
        <v>26200.000000002547</v>
      </c>
      <c r="N34" s="3">
        <v>6219.9999999997999</v>
      </c>
      <c r="O34" s="3">
        <f t="shared" si="5"/>
        <v>32420.000000002346</v>
      </c>
      <c r="P34" s="6">
        <f t="shared" si="7"/>
        <v>7.6051587359188585E-2</v>
      </c>
      <c r="Q34" s="6">
        <f t="shared" si="8"/>
        <v>1.8054995166950069E-2</v>
      </c>
      <c r="R34" s="6">
        <f t="shared" si="9"/>
        <v>9.4106582526138655E-2</v>
      </c>
      <c r="S34" s="6">
        <f t="shared" si="6"/>
        <v>9.8604272040738433E-2</v>
      </c>
    </row>
    <row r="35" spans="1:19" x14ac:dyDescent="0.35">
      <c r="A35" s="2">
        <v>45080</v>
      </c>
      <c r="B35" s="3">
        <v>328773</v>
      </c>
      <c r="C35" s="3">
        <v>15898</v>
      </c>
      <c r="D35" s="3">
        <f t="shared" si="0"/>
        <v>344671</v>
      </c>
      <c r="E35" s="4">
        <f t="shared" si="1"/>
        <v>3805.2430555555552</v>
      </c>
      <c r="F35" s="4">
        <f t="shared" si="1"/>
        <v>184.00462962962962</v>
      </c>
      <c r="G35" s="4">
        <f t="shared" si="2"/>
        <v>3989.2476851851848</v>
      </c>
      <c r="H35" s="3">
        <v>317004</v>
      </c>
      <c r="I35" s="4">
        <f t="shared" si="3"/>
        <v>3669.0277777777774</v>
      </c>
      <c r="J35" s="5">
        <f t="shared" si="4"/>
        <v>8.0270750948005495E-2</v>
      </c>
      <c r="K35" s="7">
        <v>62.147847119390768</v>
      </c>
      <c r="L35" s="7">
        <v>20.005398233351617</v>
      </c>
      <c r="M35" s="3">
        <v>26879.999999996471</v>
      </c>
      <c r="N35" s="3">
        <v>6060.0000000004002</v>
      </c>
      <c r="O35" s="3">
        <f t="shared" si="5"/>
        <v>32939.999999996871</v>
      </c>
      <c r="P35" s="6">
        <f t="shared" si="7"/>
        <v>7.7987414084725634E-2</v>
      </c>
      <c r="Q35" s="6">
        <f t="shared" si="8"/>
        <v>1.7581983978925991E-2</v>
      </c>
      <c r="R35" s="6">
        <f t="shared" si="9"/>
        <v>9.5569398063651625E-2</v>
      </c>
      <c r="S35" s="6">
        <f t="shared" si="6"/>
        <v>0.10019070909106548</v>
      </c>
    </row>
    <row r="36" spans="1:19" x14ac:dyDescent="0.35">
      <c r="A36" s="2">
        <v>45081</v>
      </c>
      <c r="B36" s="3">
        <v>328362</v>
      </c>
      <c r="C36" s="3">
        <v>16326</v>
      </c>
      <c r="D36" s="3">
        <f t="shared" si="0"/>
        <v>344688</v>
      </c>
      <c r="E36" s="4">
        <f t="shared" si="1"/>
        <v>3800.4861111111109</v>
      </c>
      <c r="F36" s="4">
        <f t="shared" si="1"/>
        <v>188.95833333333331</v>
      </c>
      <c r="G36" s="4">
        <f t="shared" si="2"/>
        <v>3989.4444444444443</v>
      </c>
      <c r="H36" s="3">
        <v>318534</v>
      </c>
      <c r="I36" s="4">
        <f t="shared" si="3"/>
        <v>3686.7361111111109</v>
      </c>
      <c r="J36" s="5">
        <f t="shared" si="4"/>
        <v>7.5877315137167528E-2</v>
      </c>
      <c r="K36" s="7">
        <v>51.205920772587476</v>
      </c>
      <c r="L36" s="7">
        <v>18.887580708529541</v>
      </c>
      <c r="M36" s="3">
        <v>27680.00000000211</v>
      </c>
      <c r="N36" s="3">
        <v>5740.0000000006912</v>
      </c>
      <c r="O36" s="3">
        <f t="shared" si="5"/>
        <v>33420.000000002801</v>
      </c>
      <c r="P36" s="6">
        <f t="shared" si="7"/>
        <v>8.0304507264546812E-2</v>
      </c>
      <c r="Q36" s="6">
        <f t="shared" si="8"/>
        <v>1.6652741029570775E-2</v>
      </c>
      <c r="R36" s="6">
        <f t="shared" si="9"/>
        <v>9.6957248294117587E-2</v>
      </c>
      <c r="S36" s="6">
        <f t="shared" si="6"/>
        <v>0.10177791583679842</v>
      </c>
    </row>
    <row r="37" spans="1:19" x14ac:dyDescent="0.35">
      <c r="A37" s="2">
        <v>45082</v>
      </c>
      <c r="B37" s="3">
        <v>328871</v>
      </c>
      <c r="C37" s="3">
        <v>21328</v>
      </c>
      <c r="D37" s="3">
        <f t="shared" si="0"/>
        <v>350199</v>
      </c>
      <c r="E37" s="4">
        <f t="shared" si="1"/>
        <v>3806.3773148148148</v>
      </c>
      <c r="F37" s="4">
        <f t="shared" si="1"/>
        <v>246.85185185185185</v>
      </c>
      <c r="G37" s="4">
        <f t="shared" si="2"/>
        <v>4053.2291666666665</v>
      </c>
      <c r="H37" s="3">
        <v>322256</v>
      </c>
      <c r="I37" s="4">
        <f t="shared" si="3"/>
        <v>3729.8148148148148</v>
      </c>
      <c r="J37" s="5">
        <f t="shared" si="4"/>
        <v>7.9791775533339618E-2</v>
      </c>
      <c r="K37" s="7">
        <v>53.860346836656376</v>
      </c>
      <c r="L37" s="7">
        <v>22.599400917336215</v>
      </c>
      <c r="M37" s="3">
        <v>27799.999999998363</v>
      </c>
      <c r="N37" s="3">
        <v>7499.9999999986358</v>
      </c>
      <c r="O37" s="3">
        <f t="shared" si="5"/>
        <v>35299.999999997002</v>
      </c>
      <c r="P37" s="6">
        <f t="shared" si="7"/>
        <v>7.9383436274799074E-2</v>
      </c>
      <c r="Q37" s="6">
        <f t="shared" si="8"/>
        <v>2.1416394678450353E-2</v>
      </c>
      <c r="R37" s="6">
        <f t="shared" si="9"/>
        <v>0.10079983095324944</v>
      </c>
      <c r="S37" s="6">
        <f t="shared" si="6"/>
        <v>0.10733691933918467</v>
      </c>
    </row>
    <row r="38" spans="1:19" x14ac:dyDescent="0.35">
      <c r="A38" s="2">
        <v>45083</v>
      </c>
      <c r="B38" s="3">
        <v>329260</v>
      </c>
      <c r="C38" s="3">
        <v>17049</v>
      </c>
      <c r="D38" s="3">
        <f t="shared" si="0"/>
        <v>346309</v>
      </c>
      <c r="E38" s="4">
        <f t="shared" si="1"/>
        <v>3810.8796296296296</v>
      </c>
      <c r="F38" s="4">
        <f t="shared" si="1"/>
        <v>197.32638888888889</v>
      </c>
      <c r="G38" s="4">
        <f t="shared" si="2"/>
        <v>4008.2060185185182</v>
      </c>
      <c r="H38" s="3">
        <v>320385</v>
      </c>
      <c r="I38" s="4">
        <f t="shared" si="3"/>
        <v>3708.1597222222222</v>
      </c>
      <c r="J38" s="5">
        <f t="shared" si="4"/>
        <v>7.4858002535308069E-2</v>
      </c>
      <c r="K38" s="7">
        <v>53.248201667690786</v>
      </c>
      <c r="L38" s="7">
        <v>20.793518824796188</v>
      </c>
      <c r="M38" s="3">
        <v>27160.000000000764</v>
      </c>
      <c r="N38" s="3">
        <v>6500.0000000009095</v>
      </c>
      <c r="O38" s="3">
        <f t="shared" si="5"/>
        <v>33660.000000001673</v>
      </c>
      <c r="P38" s="6">
        <f t="shared" si="7"/>
        <v>7.8427069466865618E-2</v>
      </c>
      <c r="Q38" s="6">
        <f t="shared" si="8"/>
        <v>1.8769364931321187E-2</v>
      </c>
      <c r="R38" s="6">
        <f t="shared" si="9"/>
        <v>9.7196434398186801E-2</v>
      </c>
      <c r="S38" s="6">
        <f t="shared" si="6"/>
        <v>0.10222924132904596</v>
      </c>
    </row>
    <row r="39" spans="1:19" x14ac:dyDescent="0.35">
      <c r="A39" s="2">
        <v>45084</v>
      </c>
      <c r="B39" s="3">
        <v>329136</v>
      </c>
      <c r="C39" s="3">
        <v>16057</v>
      </c>
      <c r="D39" s="3">
        <f t="shared" si="0"/>
        <v>345193</v>
      </c>
      <c r="E39" s="4">
        <f t="shared" si="1"/>
        <v>3809.4444444444443</v>
      </c>
      <c r="F39" s="4">
        <f t="shared" si="1"/>
        <v>185.84490740740739</v>
      </c>
      <c r="G39" s="4">
        <f t="shared" si="2"/>
        <v>3995.2893518518517</v>
      </c>
      <c r="H39" s="3">
        <v>318342</v>
      </c>
      <c r="I39" s="4">
        <f t="shared" si="3"/>
        <v>3684.5138888888887</v>
      </c>
      <c r="J39" s="5">
        <f t="shared" si="4"/>
        <v>7.7785470736660367E-2</v>
      </c>
      <c r="K39" s="7">
        <v>52.898351702152759</v>
      </c>
      <c r="L39" s="7">
        <v>18.892749039294586</v>
      </c>
      <c r="M39" s="3">
        <v>26399.999999999636</v>
      </c>
      <c r="N39" s="3">
        <v>6979.9999999995634</v>
      </c>
      <c r="O39" s="3">
        <f t="shared" si="5"/>
        <v>33379.9999999992</v>
      </c>
      <c r="P39" s="6">
        <f t="shared" si="7"/>
        <v>7.6478955251119335E-2</v>
      </c>
      <c r="Q39" s="6">
        <f t="shared" si="8"/>
        <v>2.0220572259575263E-2</v>
      </c>
      <c r="R39" s="6">
        <f t="shared" si="9"/>
        <v>9.6699527510694591E-2</v>
      </c>
      <c r="S39" s="6">
        <f t="shared" si="6"/>
        <v>0.10141704341062417</v>
      </c>
    </row>
    <row r="40" spans="1:19" x14ac:dyDescent="0.35">
      <c r="A40" s="2">
        <v>45085</v>
      </c>
      <c r="B40" s="3">
        <v>328720</v>
      </c>
      <c r="C40" s="3">
        <v>16323</v>
      </c>
      <c r="D40" s="3">
        <f t="shared" si="0"/>
        <v>345043</v>
      </c>
      <c r="E40" s="4">
        <f t="shared" si="1"/>
        <v>3804.6296296296296</v>
      </c>
      <c r="F40" s="4">
        <f t="shared" si="1"/>
        <v>188.92361111111109</v>
      </c>
      <c r="G40" s="4">
        <f t="shared" si="2"/>
        <v>3993.5532407407409</v>
      </c>
      <c r="H40" s="3">
        <v>317308</v>
      </c>
      <c r="I40" s="4">
        <f t="shared" si="3"/>
        <v>3672.5462962962961</v>
      </c>
      <c r="J40" s="5">
        <f t="shared" si="4"/>
        <v>8.0381285810754016E-2</v>
      </c>
      <c r="K40" s="7">
        <v>47.487525504712636</v>
      </c>
      <c r="L40" s="7">
        <v>20.377599930450874</v>
      </c>
      <c r="M40" s="3">
        <v>26360.000000001492</v>
      </c>
      <c r="N40" s="3">
        <v>6639.9999999994179</v>
      </c>
      <c r="O40" s="3">
        <f t="shared" si="5"/>
        <v>33000.000000000909</v>
      </c>
      <c r="P40" s="6">
        <f t="shared" si="7"/>
        <v>7.6396275246857617E-2</v>
      </c>
      <c r="Q40" s="6">
        <f t="shared" si="8"/>
        <v>1.924397828676257E-2</v>
      </c>
      <c r="R40" s="6">
        <f t="shared" si="9"/>
        <v>9.5640253533620184E-2</v>
      </c>
      <c r="S40" s="6">
        <f t="shared" si="6"/>
        <v>0.10038938914578033</v>
      </c>
    </row>
    <row r="41" spans="1:19" x14ac:dyDescent="0.35">
      <c r="A41" s="2">
        <v>45086</v>
      </c>
      <c r="B41" s="3">
        <v>328704</v>
      </c>
      <c r="C41" s="3">
        <v>16511</v>
      </c>
      <c r="D41" s="3">
        <f t="shared" si="0"/>
        <v>345215</v>
      </c>
      <c r="E41" s="4">
        <f t="shared" si="1"/>
        <v>3804.4444444444443</v>
      </c>
      <c r="F41" s="4">
        <f t="shared" si="1"/>
        <v>191.09953703703704</v>
      </c>
      <c r="G41" s="4">
        <f t="shared" si="2"/>
        <v>3995.5439814814813</v>
      </c>
      <c r="H41" s="3">
        <v>317454</v>
      </c>
      <c r="I41" s="4">
        <f t="shared" si="3"/>
        <v>3674.2361111111109</v>
      </c>
      <c r="J41" s="5">
        <f t="shared" si="4"/>
        <v>8.0416552003823707E-2</v>
      </c>
      <c r="K41" s="7">
        <v>41.883707010851985</v>
      </c>
      <c r="L41" s="7">
        <v>19.67869274438036</v>
      </c>
      <c r="M41" s="3">
        <v>26159.999999999854</v>
      </c>
      <c r="N41" s="3">
        <v>5920.0000000009823</v>
      </c>
      <c r="O41" s="3">
        <f t="shared" si="5"/>
        <v>32080.000000000837</v>
      </c>
      <c r="P41" s="6">
        <f t="shared" si="7"/>
        <v>7.5778862448039205E-2</v>
      </c>
      <c r="Q41" s="6">
        <f t="shared" si="8"/>
        <v>1.714873339803016E-2</v>
      </c>
      <c r="R41" s="6">
        <f t="shared" si="9"/>
        <v>9.2927595846069369E-2</v>
      </c>
      <c r="S41" s="6">
        <f t="shared" si="6"/>
        <v>9.7595404984426218E-2</v>
      </c>
    </row>
    <row r="42" spans="1:19" x14ac:dyDescent="0.35">
      <c r="A42" s="2">
        <v>45087</v>
      </c>
      <c r="B42" s="3">
        <v>329240</v>
      </c>
      <c r="C42" s="3">
        <v>10336</v>
      </c>
      <c r="D42" s="3">
        <f t="shared" si="0"/>
        <v>339576</v>
      </c>
      <c r="E42" s="4">
        <f t="shared" si="1"/>
        <v>3810.6481481481478</v>
      </c>
      <c r="F42" s="4">
        <f t="shared" si="1"/>
        <v>119.62962962962962</v>
      </c>
      <c r="G42" s="4">
        <f t="shared" si="2"/>
        <v>3930.2777777777774</v>
      </c>
      <c r="H42" s="3">
        <v>315765</v>
      </c>
      <c r="I42" s="4">
        <f t="shared" si="3"/>
        <v>3654.6874999999995</v>
      </c>
      <c r="J42" s="5">
        <f t="shared" si="4"/>
        <v>7.0119796452046079E-2</v>
      </c>
      <c r="K42" s="7">
        <v>51.541176511854815</v>
      </c>
      <c r="L42" s="7">
        <v>20.138847018604402</v>
      </c>
      <c r="M42" s="3">
        <v>25840.000000001055</v>
      </c>
      <c r="N42" s="3">
        <v>5919.9999999991633</v>
      </c>
      <c r="O42" s="3">
        <f t="shared" si="5"/>
        <v>31760.000000000218</v>
      </c>
      <c r="P42" s="6">
        <f t="shared" si="7"/>
        <v>7.6094894810001451E-2</v>
      </c>
      <c r="Q42" s="6">
        <f t="shared" si="8"/>
        <v>1.7433505312504899E-2</v>
      </c>
      <c r="R42" s="6">
        <f t="shared" si="9"/>
        <v>9.352840012250635E-2</v>
      </c>
      <c r="S42" s="6">
        <f t="shared" si="6"/>
        <v>9.6464585105091177E-2</v>
      </c>
    </row>
    <row r="43" spans="1:19" x14ac:dyDescent="0.35">
      <c r="A43" s="2">
        <v>45088</v>
      </c>
      <c r="B43" s="3">
        <v>329188</v>
      </c>
      <c r="C43" s="3">
        <v>14098</v>
      </c>
      <c r="D43" s="3">
        <f t="shared" si="0"/>
        <v>343286</v>
      </c>
      <c r="E43" s="4">
        <f t="shared" si="1"/>
        <v>3810.0462962962961</v>
      </c>
      <c r="F43" s="4">
        <f t="shared" si="1"/>
        <v>163.17129629629628</v>
      </c>
      <c r="G43" s="4">
        <f t="shared" si="2"/>
        <v>3973.2175925925922</v>
      </c>
      <c r="H43" s="3">
        <v>316743</v>
      </c>
      <c r="I43" s="4">
        <f t="shared" si="3"/>
        <v>3666.0069444444443</v>
      </c>
      <c r="J43" s="5">
        <f t="shared" si="4"/>
        <v>7.7320368439144041E-2</v>
      </c>
      <c r="K43" s="7">
        <v>51.832211486577705</v>
      </c>
      <c r="L43" s="7">
        <v>20.58084254056768</v>
      </c>
      <c r="M43" s="3">
        <v>27519.999999996799</v>
      </c>
      <c r="N43" s="3">
        <v>5960.0000000009459</v>
      </c>
      <c r="O43" s="3">
        <f t="shared" si="5"/>
        <v>33479.999999997744</v>
      </c>
      <c r="P43" s="6">
        <f t="shared" si="7"/>
        <v>8.016639187149141E-2</v>
      </c>
      <c r="Q43" s="6">
        <f t="shared" si="8"/>
        <v>1.7361616844266722E-2</v>
      </c>
      <c r="R43" s="6">
        <f t="shared" si="9"/>
        <v>9.7528008715758133E-2</v>
      </c>
      <c r="S43" s="6">
        <f t="shared" si="6"/>
        <v>0.10170480090403582</v>
      </c>
    </row>
    <row r="44" spans="1:19" x14ac:dyDescent="0.35">
      <c r="A44" s="2">
        <v>45089</v>
      </c>
      <c r="B44" s="3">
        <v>330176</v>
      </c>
      <c r="C44" s="3">
        <v>14716</v>
      </c>
      <c r="D44" s="3">
        <f t="shared" si="0"/>
        <v>344892</v>
      </c>
      <c r="E44" s="4">
        <f t="shared" si="1"/>
        <v>3821.4814814814813</v>
      </c>
      <c r="F44" s="4">
        <f t="shared" si="1"/>
        <v>170.32407407407408</v>
      </c>
      <c r="G44" s="4">
        <f t="shared" si="2"/>
        <v>3991.8055555555552</v>
      </c>
      <c r="H44" s="3">
        <v>320416</v>
      </c>
      <c r="I44" s="4">
        <f t="shared" si="3"/>
        <v>3708.5185185185182</v>
      </c>
      <c r="J44" s="5">
        <f t="shared" si="4"/>
        <v>7.0967143337624536E-2</v>
      </c>
      <c r="K44" s="7">
        <v>50.998624883627976</v>
      </c>
      <c r="L44" s="7">
        <v>20.255207466001586</v>
      </c>
      <c r="M44" s="3">
        <v>27320.000000003347</v>
      </c>
      <c r="N44" s="3">
        <v>6339.9999999983265</v>
      </c>
      <c r="O44" s="3">
        <f t="shared" si="5"/>
        <v>33660.000000001673</v>
      </c>
      <c r="P44" s="6">
        <f t="shared" si="7"/>
        <v>7.9213202973694219E-2</v>
      </c>
      <c r="Q44" s="6">
        <f t="shared" si="8"/>
        <v>1.8382566136640823E-2</v>
      </c>
      <c r="R44" s="6">
        <f t="shared" si="9"/>
        <v>9.7595769110335046E-2</v>
      </c>
      <c r="S44" s="6">
        <f t="shared" si="6"/>
        <v>0.10194562899787288</v>
      </c>
    </row>
    <row r="45" spans="1:19" x14ac:dyDescent="0.35">
      <c r="A45" s="2">
        <v>45090</v>
      </c>
      <c r="B45" s="3">
        <v>329360</v>
      </c>
      <c r="C45" s="3">
        <v>15710</v>
      </c>
      <c r="D45" s="3">
        <f t="shared" si="0"/>
        <v>345070</v>
      </c>
      <c r="E45" s="4">
        <f t="shared" si="1"/>
        <v>3812.037037037037</v>
      </c>
      <c r="F45" s="4">
        <f t="shared" si="1"/>
        <v>181.8287037037037</v>
      </c>
      <c r="G45" s="4">
        <f t="shared" si="2"/>
        <v>3993.8657407407409</v>
      </c>
      <c r="H45" s="3">
        <v>320056</v>
      </c>
      <c r="I45" s="4">
        <f t="shared" si="3"/>
        <v>3704.3518518518517</v>
      </c>
      <c r="J45" s="5">
        <f t="shared" si="4"/>
        <v>7.248963978323239E-2</v>
      </c>
      <c r="K45" s="7">
        <v>51.301109087032039</v>
      </c>
      <c r="L45" s="7">
        <v>20.408817088307146</v>
      </c>
      <c r="M45" s="3">
        <v>26319.999999996071</v>
      </c>
      <c r="N45" s="3">
        <v>6600.0000000003638</v>
      </c>
      <c r="O45" s="3">
        <f t="shared" si="5"/>
        <v>32919.999999996435</v>
      </c>
      <c r="P45" s="6">
        <f t="shared" si="7"/>
        <v>7.6274379111473237E-2</v>
      </c>
      <c r="Q45" s="6">
        <f t="shared" si="8"/>
        <v>1.9126554032516195E-2</v>
      </c>
      <c r="R45" s="6">
        <f t="shared" si="9"/>
        <v>9.5400933143989439E-2</v>
      </c>
      <c r="S45" s="6">
        <f t="shared" si="6"/>
        <v>9.995142093756508E-2</v>
      </c>
    </row>
    <row r="46" spans="1:19" x14ac:dyDescent="0.35">
      <c r="A46" s="2">
        <v>45091</v>
      </c>
      <c r="B46" s="3">
        <v>331690</v>
      </c>
      <c r="C46" s="3">
        <v>14279</v>
      </c>
      <c r="D46" s="3">
        <f t="shared" si="0"/>
        <v>345969</v>
      </c>
      <c r="E46" s="4">
        <f t="shared" si="1"/>
        <v>3839.0046296296296</v>
      </c>
      <c r="F46" s="4">
        <f t="shared" si="1"/>
        <v>165.2662037037037</v>
      </c>
      <c r="G46" s="4">
        <f t="shared" si="2"/>
        <v>4004.270833333333</v>
      </c>
      <c r="H46" s="3">
        <v>320814</v>
      </c>
      <c r="I46" s="4">
        <f t="shared" si="3"/>
        <v>3713.1249999999995</v>
      </c>
      <c r="J46" s="5">
        <f t="shared" si="4"/>
        <v>7.2708826513358138E-2</v>
      </c>
      <c r="K46" s="7">
        <v>51.704316832244167</v>
      </c>
      <c r="L46" s="7">
        <v>20.944858961741325</v>
      </c>
      <c r="M46" s="3">
        <v>26640.000000003965</v>
      </c>
      <c r="N46" s="3">
        <v>6299.9999999997272</v>
      </c>
      <c r="O46" s="3">
        <f t="shared" si="5"/>
        <v>32940.000000003696</v>
      </c>
      <c r="P46" s="6">
        <f t="shared" si="7"/>
        <v>7.7001118597342433E-2</v>
      </c>
      <c r="Q46" s="6">
        <f t="shared" si="8"/>
        <v>1.8209723992611265E-2</v>
      </c>
      <c r="R46" s="6">
        <f t="shared" si="9"/>
        <v>9.5210842589953715E-2</v>
      </c>
      <c r="S46" s="6">
        <f t="shared" si="6"/>
        <v>9.930959630981849E-2</v>
      </c>
    </row>
    <row r="47" spans="1:19" x14ac:dyDescent="0.35">
      <c r="A47" s="2">
        <v>45092</v>
      </c>
      <c r="B47" s="3">
        <v>332212</v>
      </c>
      <c r="C47" s="3">
        <v>12828</v>
      </c>
      <c r="D47" s="3">
        <f t="shared" si="0"/>
        <v>345040</v>
      </c>
      <c r="E47" s="4">
        <f t="shared" si="1"/>
        <v>3845.0462962962961</v>
      </c>
      <c r="F47" s="4">
        <f t="shared" si="1"/>
        <v>148.4722222222222</v>
      </c>
      <c r="G47" s="4">
        <f t="shared" si="2"/>
        <v>3993.5185185185182</v>
      </c>
      <c r="H47" s="3">
        <v>320218</v>
      </c>
      <c r="I47" s="4">
        <f t="shared" si="3"/>
        <v>3706.2268518518517</v>
      </c>
      <c r="J47" s="5">
        <f t="shared" si="4"/>
        <v>7.1939485277069323E-2</v>
      </c>
      <c r="K47" s="7">
        <v>51.9395819296643</v>
      </c>
      <c r="L47" s="7">
        <v>21.263767415405077</v>
      </c>
      <c r="M47" s="3">
        <v>27399.999999995998</v>
      </c>
      <c r="N47" s="3">
        <v>7100.0000000012733</v>
      </c>
      <c r="O47" s="3">
        <f t="shared" si="5"/>
        <v>34499.999999997272</v>
      </c>
      <c r="P47" s="6">
        <f t="shared" si="7"/>
        <v>7.9411082773000227E-2</v>
      </c>
      <c r="Q47" s="6">
        <f t="shared" si="8"/>
        <v>2.0577324368192887E-2</v>
      </c>
      <c r="R47" s="6">
        <f t="shared" si="9"/>
        <v>9.9988407141193114E-2</v>
      </c>
      <c r="S47" s="6">
        <f t="shared" si="6"/>
        <v>0.10384934921073673</v>
      </c>
    </row>
    <row r="48" spans="1:19" x14ac:dyDescent="0.35">
      <c r="A48" s="2">
        <v>45093</v>
      </c>
      <c r="B48" s="3">
        <v>332374</v>
      </c>
      <c r="C48" s="3">
        <v>11539</v>
      </c>
      <c r="D48" s="3">
        <f t="shared" si="0"/>
        <v>343913</v>
      </c>
      <c r="E48" s="4">
        <f t="shared" si="1"/>
        <v>3846.9212962962961</v>
      </c>
      <c r="F48" s="4">
        <f t="shared" si="1"/>
        <v>133.55324074074073</v>
      </c>
      <c r="G48" s="4">
        <f t="shared" si="2"/>
        <v>3980.474537037037</v>
      </c>
      <c r="H48" s="3">
        <v>319893</v>
      </c>
      <c r="I48" s="4">
        <f t="shared" si="3"/>
        <v>3702.4652777777774</v>
      </c>
      <c r="J48" s="5">
        <f t="shared" si="4"/>
        <v>6.9843245239348317E-2</v>
      </c>
      <c r="K48" s="7">
        <v>50.0225938029471</v>
      </c>
      <c r="L48" s="7">
        <v>19.621505195537605</v>
      </c>
      <c r="M48" s="3">
        <v>26800.00000000291</v>
      </c>
      <c r="N48" s="3">
        <v>6579.9999999999272</v>
      </c>
      <c r="O48" s="3">
        <f t="shared" si="5"/>
        <v>33380.000000002838</v>
      </c>
      <c r="P48" s="6">
        <f t="shared" si="7"/>
        <v>7.792668494649202E-2</v>
      </c>
      <c r="Q48" s="6">
        <f t="shared" si="8"/>
        <v>1.9132745781636422E-2</v>
      </c>
      <c r="R48" s="6">
        <f t="shared" si="9"/>
        <v>9.7059430728128449E-2</v>
      </c>
      <c r="S48" s="6">
        <f t="shared" si="6"/>
        <v>0.1004290347620537</v>
      </c>
    </row>
    <row r="49" spans="1:19" x14ac:dyDescent="0.35">
      <c r="A49" s="2">
        <v>45094</v>
      </c>
      <c r="B49" s="3">
        <v>332520</v>
      </c>
      <c r="C49" s="3">
        <v>9518</v>
      </c>
      <c r="D49" s="3">
        <f t="shared" si="0"/>
        <v>342038</v>
      </c>
      <c r="E49" s="4">
        <f t="shared" si="1"/>
        <v>3848.6111111111109</v>
      </c>
      <c r="F49" s="4">
        <f t="shared" si="1"/>
        <v>110.16203703703702</v>
      </c>
      <c r="G49" s="4">
        <f t="shared" si="2"/>
        <v>3958.7731481481478</v>
      </c>
      <c r="H49" s="3">
        <v>316132</v>
      </c>
      <c r="I49" s="4">
        <f t="shared" si="3"/>
        <v>3658.9351851851848</v>
      </c>
      <c r="J49" s="5">
        <f t="shared" si="4"/>
        <v>7.5740122442535626E-2</v>
      </c>
      <c r="K49" s="7">
        <v>59.373711598080661</v>
      </c>
      <c r="L49" s="7">
        <v>22.013137156176565</v>
      </c>
      <c r="M49" s="3">
        <v>25960.000000000946</v>
      </c>
      <c r="N49" s="3">
        <v>5500</v>
      </c>
      <c r="O49" s="3">
        <f t="shared" si="5"/>
        <v>31460.000000000946</v>
      </c>
      <c r="P49" s="6">
        <f t="shared" si="7"/>
        <v>7.5897999637469946E-2</v>
      </c>
      <c r="Q49" s="6">
        <f t="shared" si="8"/>
        <v>1.608008466895491E-2</v>
      </c>
      <c r="R49" s="6">
        <f t="shared" si="9"/>
        <v>9.1978084306424859E-2</v>
      </c>
      <c r="S49" s="6">
        <f t="shared" si="6"/>
        <v>9.4610850475162239E-2</v>
      </c>
    </row>
    <row r="50" spans="1:19" x14ac:dyDescent="0.35">
      <c r="A50" s="2">
        <v>45095</v>
      </c>
      <c r="B50" s="3">
        <v>331908</v>
      </c>
      <c r="C50" s="3">
        <v>8251</v>
      </c>
      <c r="D50" s="3">
        <f t="shared" si="0"/>
        <v>340159</v>
      </c>
      <c r="E50" s="4">
        <f t="shared" si="1"/>
        <v>3841.5277777777774</v>
      </c>
      <c r="F50" s="4">
        <f t="shared" si="1"/>
        <v>95.497685185185176</v>
      </c>
      <c r="G50" s="4">
        <f t="shared" si="2"/>
        <v>3937.0254629629626</v>
      </c>
      <c r="H50" s="3">
        <v>315465</v>
      </c>
      <c r="I50" s="4">
        <f t="shared" si="3"/>
        <v>3651.2152777777774</v>
      </c>
      <c r="J50" s="5">
        <f t="shared" si="4"/>
        <v>7.2595462710085573E-2</v>
      </c>
      <c r="K50" s="7">
        <v>73.628734618530302</v>
      </c>
      <c r="L50" s="7">
        <v>20.50375475440789</v>
      </c>
      <c r="M50" s="3">
        <v>25719.999999997526</v>
      </c>
      <c r="N50" s="3">
        <v>5459.9999999995816</v>
      </c>
      <c r="O50" s="3">
        <f t="shared" si="5"/>
        <v>31179.999999997108</v>
      </c>
      <c r="P50" s="6">
        <f t="shared" si="7"/>
        <v>7.5611699234762353E-2</v>
      </c>
      <c r="Q50" s="6">
        <f t="shared" si="8"/>
        <v>1.6051317178141934E-2</v>
      </c>
      <c r="R50" s="6">
        <f t="shared" si="9"/>
        <v>9.166301641290428E-2</v>
      </c>
      <c r="S50" s="6">
        <f t="shared" si="6"/>
        <v>9.3941694686470678E-2</v>
      </c>
    </row>
    <row r="51" spans="1:19" x14ac:dyDescent="0.35">
      <c r="A51" s="2">
        <v>45096</v>
      </c>
      <c r="B51" s="3">
        <v>338681</v>
      </c>
      <c r="C51" s="3">
        <v>12498</v>
      </c>
      <c r="D51" s="3">
        <f t="shared" si="0"/>
        <v>351179</v>
      </c>
      <c r="E51" s="4">
        <f t="shared" si="1"/>
        <v>3919.9189814814813</v>
      </c>
      <c r="F51" s="4">
        <f t="shared" si="1"/>
        <v>144.65277777777777</v>
      </c>
      <c r="G51" s="4">
        <f t="shared" si="2"/>
        <v>4064.5717592592591</v>
      </c>
      <c r="H51" s="3">
        <v>320854</v>
      </c>
      <c r="I51" s="4">
        <f t="shared" si="3"/>
        <v>3713.5879629629626</v>
      </c>
      <c r="J51" s="5">
        <f t="shared" si="4"/>
        <v>8.6351974349263477E-2</v>
      </c>
      <c r="K51" s="7">
        <v>43.67289934082951</v>
      </c>
      <c r="L51" s="7">
        <v>16.088170505449177</v>
      </c>
      <c r="M51" s="3">
        <v>27120.00000000171</v>
      </c>
      <c r="N51" s="3">
        <v>6920.0000000009823</v>
      </c>
      <c r="O51" s="3">
        <f t="shared" si="5"/>
        <v>34040.000000002692</v>
      </c>
      <c r="P51" s="6">
        <f t="shared" si="7"/>
        <v>7.7225574422165641E-2</v>
      </c>
      <c r="Q51" s="6">
        <f t="shared" si="8"/>
        <v>1.9705050700642643E-2</v>
      </c>
      <c r="R51" s="6">
        <f t="shared" si="9"/>
        <v>9.6930625122808284E-2</v>
      </c>
      <c r="S51" s="6">
        <f t="shared" si="6"/>
        <v>0.10050755725890349</v>
      </c>
    </row>
    <row r="52" spans="1:19" x14ac:dyDescent="0.35">
      <c r="A52" s="2">
        <v>45097</v>
      </c>
      <c r="B52" s="3">
        <v>326380</v>
      </c>
      <c r="C52" s="3">
        <v>13496</v>
      </c>
      <c r="D52" s="3">
        <f t="shared" si="0"/>
        <v>339876</v>
      </c>
      <c r="E52" s="4">
        <f t="shared" si="1"/>
        <v>3777.5462962962961</v>
      </c>
      <c r="F52" s="4">
        <f t="shared" si="1"/>
        <v>156.2037037037037</v>
      </c>
      <c r="G52" s="4">
        <f t="shared" si="2"/>
        <v>3933.75</v>
      </c>
      <c r="H52" s="3">
        <v>318000</v>
      </c>
      <c r="I52" s="4">
        <f t="shared" si="3"/>
        <v>3680.5555555555552</v>
      </c>
      <c r="J52" s="5">
        <f t="shared" si="4"/>
        <v>6.4364650637291243E-2</v>
      </c>
      <c r="K52" s="7">
        <v>46.412978671364854</v>
      </c>
      <c r="L52" s="7">
        <v>20.187697027471135</v>
      </c>
      <c r="M52" s="3">
        <v>26720.000000000255</v>
      </c>
      <c r="N52" s="3">
        <v>6780.0000000002001</v>
      </c>
      <c r="O52" s="3">
        <f t="shared" si="5"/>
        <v>33500.000000000451</v>
      </c>
      <c r="P52" s="6">
        <f t="shared" si="7"/>
        <v>7.8616907342678663E-2</v>
      </c>
      <c r="Q52" s="6">
        <f t="shared" si="8"/>
        <v>1.9948451788299851E-2</v>
      </c>
      <c r="R52" s="6">
        <f t="shared" si="9"/>
        <v>9.8565359130978511E-2</v>
      </c>
      <c r="S52" s="6">
        <f t="shared" si="6"/>
        <v>0.10264109320424183</v>
      </c>
    </row>
    <row r="53" spans="1:19" x14ac:dyDescent="0.35">
      <c r="A53" s="2">
        <v>45098</v>
      </c>
      <c r="B53" s="3">
        <v>333413</v>
      </c>
      <c r="C53" s="3">
        <v>12066</v>
      </c>
      <c r="D53" s="3">
        <f t="shared" si="0"/>
        <v>345479</v>
      </c>
      <c r="E53" s="4">
        <f t="shared" si="1"/>
        <v>3858.9467592592591</v>
      </c>
      <c r="F53" s="4">
        <f t="shared" si="1"/>
        <v>139.65277777777777</v>
      </c>
      <c r="G53" s="4">
        <f t="shared" si="2"/>
        <v>3998.599537037037</v>
      </c>
      <c r="H53" s="3">
        <v>318590</v>
      </c>
      <c r="I53" s="4">
        <f t="shared" si="3"/>
        <v>3687.3842592592591</v>
      </c>
      <c r="J53" s="5">
        <f t="shared" si="4"/>
        <v>7.7831069326934482E-2</v>
      </c>
      <c r="K53" s="7">
        <v>56.386317538096783</v>
      </c>
      <c r="L53" s="7">
        <v>18.647699628932923</v>
      </c>
      <c r="M53" s="3">
        <v>26440.000000000509</v>
      </c>
      <c r="N53" s="3">
        <v>7199.9999999998181</v>
      </c>
      <c r="O53" s="3">
        <f t="shared" si="5"/>
        <v>33640.000000000327</v>
      </c>
      <c r="P53" s="6">
        <f t="shared" si="7"/>
        <v>7.6531424486004959E-2</v>
      </c>
      <c r="Q53" s="6">
        <f t="shared" si="8"/>
        <v>2.0840629965930831E-2</v>
      </c>
      <c r="R53" s="6">
        <f t="shared" si="9"/>
        <v>9.7372054451935794E-2</v>
      </c>
      <c r="S53" s="6">
        <f t="shared" si="6"/>
        <v>0.10089588588327487</v>
      </c>
    </row>
    <row r="54" spans="1:19" x14ac:dyDescent="0.35">
      <c r="A54" s="2">
        <v>45099</v>
      </c>
      <c r="B54" s="3">
        <v>332768</v>
      </c>
      <c r="C54" s="3">
        <v>13165</v>
      </c>
      <c r="D54" s="3">
        <f t="shared" si="0"/>
        <v>345933</v>
      </c>
      <c r="E54" s="4">
        <f t="shared" si="1"/>
        <v>3851.4814814814813</v>
      </c>
      <c r="F54" s="4">
        <f t="shared" si="1"/>
        <v>152.37268518518516</v>
      </c>
      <c r="G54" s="4">
        <f t="shared" si="2"/>
        <v>4003.8541666666665</v>
      </c>
      <c r="H54" s="3">
        <v>320456</v>
      </c>
      <c r="I54" s="4">
        <f t="shared" si="3"/>
        <v>3708.9814814814813</v>
      </c>
      <c r="J54" s="5">
        <f t="shared" si="4"/>
        <v>7.3647209141654596E-2</v>
      </c>
      <c r="K54" s="7">
        <v>55.301248389092102</v>
      </c>
      <c r="L54" s="7">
        <v>20.226984165210617</v>
      </c>
      <c r="M54" s="3">
        <v>26439.999999997781</v>
      </c>
      <c r="N54" s="3">
        <v>6420.0000000000728</v>
      </c>
      <c r="O54" s="3">
        <f t="shared" si="5"/>
        <v>32859.999999997854</v>
      </c>
      <c r="P54" s="6">
        <f t="shared" si="7"/>
        <v>7.643098519076752E-2</v>
      </c>
      <c r="Q54" s="6">
        <f t="shared" si="8"/>
        <v>1.8558506994129132E-2</v>
      </c>
      <c r="R54" s="6">
        <f t="shared" si="9"/>
        <v>9.4989492184896648E-2</v>
      </c>
      <c r="S54" s="6">
        <f t="shared" si="6"/>
        <v>9.8747475718812663E-2</v>
      </c>
    </row>
    <row r="55" spans="1:19" x14ac:dyDescent="0.35">
      <c r="A55" s="2">
        <v>45100</v>
      </c>
      <c r="B55" s="3">
        <v>332458</v>
      </c>
      <c r="C55" s="3">
        <v>13172</v>
      </c>
      <c r="D55" s="3">
        <f t="shared" si="0"/>
        <v>345630</v>
      </c>
      <c r="E55" s="4">
        <f t="shared" si="1"/>
        <v>3847.8935185185182</v>
      </c>
      <c r="F55" s="4">
        <f t="shared" si="1"/>
        <v>152.4537037037037</v>
      </c>
      <c r="G55" s="4">
        <f t="shared" si="2"/>
        <v>4000.3472222222217</v>
      </c>
      <c r="H55" s="3">
        <v>319896</v>
      </c>
      <c r="I55" s="4">
        <f t="shared" si="3"/>
        <v>3702.4999999999995</v>
      </c>
      <c r="J55" s="5">
        <f t="shared" si="4"/>
        <v>7.4455342418192863E-2</v>
      </c>
      <c r="K55" s="7">
        <v>50.645457726983111</v>
      </c>
      <c r="L55" s="7">
        <v>20.768851404615258</v>
      </c>
      <c r="M55" s="3">
        <v>26840.000000001965</v>
      </c>
      <c r="N55" s="3">
        <v>7299.9999999988177</v>
      </c>
      <c r="O55" s="3">
        <f t="shared" si="5"/>
        <v>34140.000000000786</v>
      </c>
      <c r="P55" s="6">
        <f t="shared" si="7"/>
        <v>7.7655296125920675E-2</v>
      </c>
      <c r="Q55" s="6">
        <f t="shared" si="8"/>
        <v>2.1120851777909375E-2</v>
      </c>
      <c r="R55" s="6">
        <f t="shared" si="9"/>
        <v>9.8776147903830061E-2</v>
      </c>
      <c r="S55" s="6">
        <f t="shared" si="6"/>
        <v>0.10268966305518527</v>
      </c>
    </row>
    <row r="56" spans="1:19" x14ac:dyDescent="0.35">
      <c r="A56" s="2">
        <v>45101</v>
      </c>
      <c r="B56" s="3">
        <v>332429</v>
      </c>
      <c r="C56" s="3">
        <v>8375</v>
      </c>
      <c r="D56" s="3">
        <f t="shared" si="0"/>
        <v>340804</v>
      </c>
      <c r="E56" s="4">
        <f t="shared" si="1"/>
        <v>3847.55787037037</v>
      </c>
      <c r="F56" s="4">
        <f t="shared" si="1"/>
        <v>96.932870370370367</v>
      </c>
      <c r="G56" s="4">
        <f t="shared" si="2"/>
        <v>3944.4907407407404</v>
      </c>
      <c r="H56" s="3">
        <v>314924</v>
      </c>
      <c r="I56" s="4">
        <f t="shared" si="3"/>
        <v>3644.9537037037035</v>
      </c>
      <c r="J56" s="5">
        <f t="shared" si="4"/>
        <v>7.5938075844180233E-2</v>
      </c>
      <c r="K56" s="7">
        <v>48.601808480190158</v>
      </c>
      <c r="L56" s="7">
        <v>19.817114430120295</v>
      </c>
      <c r="M56" s="3">
        <v>22879.9999999992</v>
      </c>
      <c r="N56" s="3">
        <v>5220.0000000002547</v>
      </c>
      <c r="O56" s="3">
        <f t="shared" si="5"/>
        <v>28099.999999999454</v>
      </c>
      <c r="P56" s="6">
        <f t="shared" si="7"/>
        <v>6.7135362261003972E-2</v>
      </c>
      <c r="Q56" s="6">
        <f t="shared" si="8"/>
        <v>1.5316721634723345E-2</v>
      </c>
      <c r="R56" s="6">
        <f t="shared" si="9"/>
        <v>8.2452083895727321E-2</v>
      </c>
      <c r="S56" s="6">
        <f t="shared" si="6"/>
        <v>8.452932806704426E-2</v>
      </c>
    </row>
    <row r="57" spans="1:19" x14ac:dyDescent="0.35">
      <c r="A57" s="2">
        <v>45102</v>
      </c>
      <c r="B57" s="3">
        <v>333585</v>
      </c>
      <c r="C57" s="3">
        <v>6921</v>
      </c>
      <c r="D57" s="3">
        <f t="shared" si="0"/>
        <v>340506</v>
      </c>
      <c r="E57" s="4">
        <f t="shared" si="1"/>
        <v>3860.9374999999995</v>
      </c>
      <c r="F57" s="4">
        <f t="shared" si="1"/>
        <v>80.104166666666657</v>
      </c>
      <c r="G57" s="4">
        <f t="shared" si="2"/>
        <v>3941.0416666666661</v>
      </c>
      <c r="H57" s="3">
        <v>315236</v>
      </c>
      <c r="I57" s="4">
        <f t="shared" si="3"/>
        <v>3648.5648148148148</v>
      </c>
      <c r="J57" s="5">
        <f t="shared" si="4"/>
        <v>7.4213082882533643E-2</v>
      </c>
      <c r="K57" s="7">
        <v>48.261940653782183</v>
      </c>
      <c r="L57" s="7">
        <v>19.831132597536474</v>
      </c>
      <c r="M57" s="3">
        <v>28200.000000001637</v>
      </c>
      <c r="N57" s="3">
        <v>5220.0000000007094</v>
      </c>
      <c r="O57" s="3">
        <f t="shared" si="5"/>
        <v>33420.000000002343</v>
      </c>
      <c r="P57" s="6">
        <f t="shared" si="7"/>
        <v>8.2817923913239819E-2</v>
      </c>
      <c r="Q57" s="6">
        <f t="shared" si="8"/>
        <v>1.5330126341388138E-2</v>
      </c>
      <c r="R57" s="6">
        <f t="shared" si="9"/>
        <v>9.8148050254627944E-2</v>
      </c>
      <c r="S57" s="6">
        <f t="shared" si="6"/>
        <v>0.10018436080759729</v>
      </c>
    </row>
    <row r="58" spans="1:19" x14ac:dyDescent="0.35">
      <c r="A58" s="2">
        <v>45103</v>
      </c>
      <c r="B58" s="3">
        <v>333551</v>
      </c>
      <c r="C58" s="3">
        <v>9953</v>
      </c>
      <c r="D58" s="3">
        <f t="shared" si="0"/>
        <v>343504</v>
      </c>
      <c r="E58" s="4">
        <f t="shared" si="1"/>
        <v>3860.5439814814813</v>
      </c>
      <c r="F58" s="4">
        <f t="shared" si="1"/>
        <v>115.19675925925925</v>
      </c>
      <c r="G58" s="4">
        <f t="shared" si="2"/>
        <v>3975.7407407407404</v>
      </c>
      <c r="H58" s="3">
        <v>318820</v>
      </c>
      <c r="I58" s="4">
        <f t="shared" si="3"/>
        <v>3690.0462962962961</v>
      </c>
      <c r="J58" s="5">
        <f t="shared" si="4"/>
        <v>7.1859425217755832E-2</v>
      </c>
      <c r="K58" s="7">
        <v>49.188871752398768</v>
      </c>
      <c r="L58" s="7">
        <v>19.878892371896647</v>
      </c>
      <c r="M58" s="3">
        <v>25879.999999997381</v>
      </c>
      <c r="N58" s="3">
        <v>5800.0000000001819</v>
      </c>
      <c r="O58" s="3">
        <f t="shared" si="5"/>
        <v>31679.999999997563</v>
      </c>
      <c r="P58" s="6">
        <f t="shared" si="7"/>
        <v>7.5341189622238403E-2</v>
      </c>
      <c r="Q58" s="6">
        <f t="shared" si="8"/>
        <v>1.6884810657227228E-2</v>
      </c>
      <c r="R58" s="6">
        <f t="shared" si="9"/>
        <v>9.2226000279465634E-2</v>
      </c>
      <c r="S58" s="6">
        <f t="shared" si="6"/>
        <v>9.49779793794579E-2</v>
      </c>
    </row>
    <row r="59" spans="1:19" x14ac:dyDescent="0.35">
      <c r="A59" s="2">
        <v>45104</v>
      </c>
      <c r="B59" s="3">
        <v>328495</v>
      </c>
      <c r="C59" s="3">
        <v>13418</v>
      </c>
      <c r="D59" s="3">
        <f t="shared" si="0"/>
        <v>341913</v>
      </c>
      <c r="E59" s="4">
        <f t="shared" si="1"/>
        <v>3802.0254629629626</v>
      </c>
      <c r="F59" s="4">
        <f t="shared" si="1"/>
        <v>155.30092592592592</v>
      </c>
      <c r="G59" s="4">
        <f t="shared" si="2"/>
        <v>3957.3263888888887</v>
      </c>
      <c r="H59" s="3">
        <v>319280</v>
      </c>
      <c r="I59" s="4">
        <f t="shared" si="3"/>
        <v>3695.37037037037</v>
      </c>
      <c r="J59" s="5">
        <f t="shared" si="4"/>
        <v>6.6195201703357284E-2</v>
      </c>
      <c r="K59" s="7">
        <v>56.812424667482759</v>
      </c>
      <c r="L59" s="7">
        <v>21.325779100452532</v>
      </c>
      <c r="M59" s="3">
        <v>26639.999999999418</v>
      </c>
      <c r="N59" s="3">
        <v>5679.9999999993815</v>
      </c>
      <c r="O59" s="3">
        <f t="shared" si="5"/>
        <v>32319.999999998799</v>
      </c>
      <c r="P59" s="6">
        <f t="shared" si="7"/>
        <v>7.7914557211920629E-2</v>
      </c>
      <c r="Q59" s="6">
        <f t="shared" si="8"/>
        <v>1.6612413099236886E-2</v>
      </c>
      <c r="R59" s="6">
        <f t="shared" si="9"/>
        <v>9.4526970311157518E-2</v>
      </c>
      <c r="S59" s="6">
        <f t="shared" si="6"/>
        <v>9.8388103319681577E-2</v>
      </c>
    </row>
    <row r="60" spans="1:19" x14ac:dyDescent="0.35">
      <c r="A60" s="2">
        <v>45105</v>
      </c>
      <c r="B60" s="3">
        <v>332482</v>
      </c>
      <c r="C60" s="3">
        <v>11140</v>
      </c>
      <c r="D60" s="3">
        <f t="shared" si="0"/>
        <v>343622</v>
      </c>
      <c r="E60" s="4">
        <f t="shared" si="1"/>
        <v>3848.1712962962961</v>
      </c>
      <c r="F60" s="4">
        <f t="shared" si="1"/>
        <v>128.93518518518519</v>
      </c>
      <c r="G60" s="4">
        <f t="shared" si="2"/>
        <v>3977.1064814814813</v>
      </c>
      <c r="H60" s="3">
        <v>313976</v>
      </c>
      <c r="I60" s="4">
        <f t="shared" si="3"/>
        <v>3633.9814814814813</v>
      </c>
      <c r="J60" s="5">
        <f t="shared" si="4"/>
        <v>8.6275034776585893E-2</v>
      </c>
      <c r="K60" s="7">
        <v>46.838983336455044</v>
      </c>
      <c r="L60" s="7">
        <v>15.947736559473361</v>
      </c>
      <c r="M60" s="3">
        <v>25800.000000000182</v>
      </c>
      <c r="N60" s="3">
        <v>5140.0000000003274</v>
      </c>
      <c r="O60" s="3">
        <f t="shared" si="5"/>
        <v>30940.000000000509</v>
      </c>
      <c r="P60" s="6">
        <f t="shared" si="7"/>
        <v>7.5082503448557381E-2</v>
      </c>
      <c r="Q60" s="6">
        <f t="shared" si="8"/>
        <v>1.4958297198666929E-2</v>
      </c>
      <c r="R60" s="6">
        <f t="shared" si="9"/>
        <v>9.0040800647224306E-2</v>
      </c>
      <c r="S60" s="6">
        <f t="shared" si="6"/>
        <v>9.305766928736145E-2</v>
      </c>
    </row>
    <row r="61" spans="1:19" x14ac:dyDescent="0.35">
      <c r="A61" s="2">
        <v>45106</v>
      </c>
      <c r="B61" s="3">
        <v>332284</v>
      </c>
      <c r="C61" s="3">
        <v>6903</v>
      </c>
      <c r="D61" s="3">
        <f t="shared" si="0"/>
        <v>339187</v>
      </c>
      <c r="E61" s="4">
        <f t="shared" si="1"/>
        <v>3845.8796296296296</v>
      </c>
      <c r="F61" s="4">
        <f t="shared" si="1"/>
        <v>79.895833333333329</v>
      </c>
      <c r="G61" s="4">
        <f t="shared" si="2"/>
        <v>3925.775462962963</v>
      </c>
      <c r="H61" s="3">
        <v>313834</v>
      </c>
      <c r="I61" s="4">
        <f t="shared" si="3"/>
        <v>3632.3379629629626</v>
      </c>
      <c r="J61" s="5">
        <f t="shared" si="4"/>
        <v>7.4746378841170205E-2</v>
      </c>
      <c r="K61" s="7">
        <v>57.847442039502759</v>
      </c>
      <c r="L61" s="7">
        <v>18.292624195658512</v>
      </c>
      <c r="M61" s="3">
        <v>27599.999999999454</v>
      </c>
      <c r="N61" s="3">
        <v>4119.9999999994361</v>
      </c>
      <c r="O61" s="3">
        <f t="shared" si="5"/>
        <v>31719.99999999889</v>
      </c>
      <c r="P61" s="6">
        <f t="shared" si="7"/>
        <v>8.137104311191011E-2</v>
      </c>
      <c r="Q61" s="6">
        <f t="shared" si="8"/>
        <v>1.2146691942790956E-2</v>
      </c>
      <c r="R61" s="6">
        <f t="shared" si="9"/>
        <v>9.3517735054701068E-2</v>
      </c>
      <c r="S61" s="6">
        <f t="shared" si="6"/>
        <v>9.5460509684483427E-2</v>
      </c>
    </row>
    <row r="62" spans="1:19" x14ac:dyDescent="0.35">
      <c r="A62" s="2">
        <v>45107</v>
      </c>
      <c r="B62" s="3">
        <v>332555</v>
      </c>
      <c r="C62" s="3">
        <v>7017</v>
      </c>
      <c r="D62" s="3">
        <f t="shared" si="0"/>
        <v>339572</v>
      </c>
      <c r="E62" s="4">
        <f t="shared" si="1"/>
        <v>3849.0162037037035</v>
      </c>
      <c r="F62" s="4">
        <f t="shared" si="1"/>
        <v>81.215277777777771</v>
      </c>
      <c r="G62" s="4">
        <f t="shared" si="2"/>
        <v>3930.2314814814813</v>
      </c>
      <c r="H62" s="3">
        <v>313580</v>
      </c>
      <c r="I62" s="4">
        <f t="shared" si="3"/>
        <v>3629.3981481481478</v>
      </c>
      <c r="J62" s="5">
        <f t="shared" si="4"/>
        <v>7.6543413473431257E-2</v>
      </c>
      <c r="K62" s="7">
        <v>48.764849622176698</v>
      </c>
      <c r="L62" s="7">
        <v>18.355241517857145</v>
      </c>
      <c r="M62" s="3">
        <v>24000.000000002728</v>
      </c>
      <c r="N62" s="3">
        <v>4519.9999999999818</v>
      </c>
      <c r="O62" s="3">
        <f t="shared" si="5"/>
        <v>28520.00000000271</v>
      </c>
      <c r="P62" s="6">
        <f t="shared" si="7"/>
        <v>7.0677205423305592E-2</v>
      </c>
      <c r="Q62" s="6">
        <f t="shared" si="8"/>
        <v>1.3310873688054321E-2</v>
      </c>
      <c r="R62" s="6">
        <f t="shared" si="9"/>
        <v>8.3988079111359915E-2</v>
      </c>
      <c r="S62" s="6">
        <f t="shared" si="6"/>
        <v>8.5760250184188216E-2</v>
      </c>
    </row>
    <row r="63" spans="1:19" x14ac:dyDescent="0.35">
      <c r="A63" s="2">
        <v>45108</v>
      </c>
      <c r="B63" s="3">
        <v>332160</v>
      </c>
      <c r="C63" s="3">
        <v>8118</v>
      </c>
      <c r="D63" s="3">
        <f t="shared" si="0"/>
        <v>340278</v>
      </c>
      <c r="E63" s="4">
        <f t="shared" si="1"/>
        <v>3844.4444444444443</v>
      </c>
      <c r="F63" s="4">
        <f t="shared" si="1"/>
        <v>93.958333333333329</v>
      </c>
      <c r="G63" s="4">
        <f t="shared" si="2"/>
        <v>3938.4027777777778</v>
      </c>
      <c r="H63" s="3">
        <v>313884</v>
      </c>
      <c r="I63" s="4">
        <f t="shared" si="3"/>
        <v>3632.9166666666665</v>
      </c>
      <c r="J63" s="5">
        <f t="shared" si="4"/>
        <v>7.7565990160986018E-2</v>
      </c>
      <c r="K63" s="7">
        <v>59.417858553011904</v>
      </c>
      <c r="L63" s="7">
        <v>18.317158537142532</v>
      </c>
      <c r="M63" s="3">
        <v>25639.999999998508</v>
      </c>
      <c r="N63" s="3">
        <v>4659.9999999993997</v>
      </c>
      <c r="O63" s="3">
        <f t="shared" si="5"/>
        <v>30299.999999997908</v>
      </c>
      <c r="P63" s="6">
        <f t="shared" si="7"/>
        <v>7.5350154873363856E-2</v>
      </c>
      <c r="Q63" s="6">
        <f t="shared" si="8"/>
        <v>1.3694684934081545E-2</v>
      </c>
      <c r="R63" s="6">
        <f t="shared" si="9"/>
        <v>8.9044839807445403E-2</v>
      </c>
      <c r="S63" s="6">
        <f t="shared" si="6"/>
        <v>9.1221098265889658E-2</v>
      </c>
    </row>
    <row r="64" spans="1:19" x14ac:dyDescent="0.35">
      <c r="A64" s="2">
        <v>45109</v>
      </c>
      <c r="B64" s="3">
        <v>331913</v>
      </c>
      <c r="C64" s="3">
        <v>8324</v>
      </c>
      <c r="D64" s="3">
        <f t="shared" si="0"/>
        <v>340237</v>
      </c>
      <c r="E64" s="4">
        <f t="shared" si="1"/>
        <v>3841.5856481481478</v>
      </c>
      <c r="F64" s="4">
        <f t="shared" si="1"/>
        <v>96.342592592592581</v>
      </c>
      <c r="G64" s="4">
        <f t="shared" si="2"/>
        <v>3937.9282407407404</v>
      </c>
      <c r="H64" s="3">
        <v>315018</v>
      </c>
      <c r="I64" s="4">
        <f t="shared" si="3"/>
        <v>3646.0416666666665</v>
      </c>
      <c r="J64" s="5">
        <f t="shared" si="4"/>
        <v>7.4121862113761872E-2</v>
      </c>
      <c r="K64" s="7">
        <v>43.213261530606871</v>
      </c>
      <c r="L64" s="7">
        <v>18.535670787683564</v>
      </c>
      <c r="M64" s="3">
        <v>26079.999999999927</v>
      </c>
      <c r="N64" s="3">
        <v>4820.0000000006185</v>
      </c>
      <c r="O64" s="3">
        <f t="shared" si="5"/>
        <v>30900.000000000546</v>
      </c>
      <c r="P64" s="6">
        <f t="shared" si="7"/>
        <v>7.6652451085566606E-2</v>
      </c>
      <c r="Q64" s="6">
        <f t="shared" si="8"/>
        <v>1.4166595637748447E-2</v>
      </c>
      <c r="R64" s="6">
        <f t="shared" si="9"/>
        <v>9.0819046723315061E-2</v>
      </c>
      <c r="S64" s="6">
        <f t="shared" si="6"/>
        <v>9.3096684974678739E-2</v>
      </c>
    </row>
    <row r="65" spans="1:19" x14ac:dyDescent="0.35">
      <c r="A65" s="2">
        <v>45110</v>
      </c>
      <c r="B65" s="3">
        <v>332647</v>
      </c>
      <c r="C65" s="3">
        <v>10322</v>
      </c>
      <c r="D65" s="3">
        <f t="shared" si="0"/>
        <v>342969</v>
      </c>
      <c r="E65" s="4">
        <f t="shared" si="1"/>
        <v>3850.0810185185182</v>
      </c>
      <c r="F65" s="4">
        <f t="shared" si="1"/>
        <v>119.46759259259258</v>
      </c>
      <c r="G65" s="4">
        <f t="shared" si="2"/>
        <v>3969.5486111111109</v>
      </c>
      <c r="H65" s="3">
        <v>318524</v>
      </c>
      <c r="I65" s="4">
        <f t="shared" si="3"/>
        <v>3686.62037037037</v>
      </c>
      <c r="J65" s="5">
        <f t="shared" si="4"/>
        <v>7.1274663307762512E-2</v>
      </c>
      <c r="K65" s="7">
        <v>60.161882777295752</v>
      </c>
      <c r="L65" s="7">
        <v>17.810299981182986</v>
      </c>
      <c r="M65" s="3">
        <v>26559.999999999491</v>
      </c>
      <c r="N65" s="3">
        <v>5540.0000000004184</v>
      </c>
      <c r="O65" s="3">
        <f t="shared" si="5"/>
        <v>32099.999999999909</v>
      </c>
      <c r="P65" s="6">
        <f t="shared" si="7"/>
        <v>7.7441401409455352E-2</v>
      </c>
      <c r="Q65" s="6">
        <f t="shared" si="8"/>
        <v>1.6153063396401476E-2</v>
      </c>
      <c r="R65" s="6">
        <f t="shared" si="9"/>
        <v>9.3594464805856828E-2</v>
      </c>
      <c r="S65" s="6">
        <f t="shared" si="6"/>
        <v>9.6498690804365919E-2</v>
      </c>
    </row>
    <row r="66" spans="1:19" x14ac:dyDescent="0.35">
      <c r="A66" s="2">
        <v>45111</v>
      </c>
      <c r="B66" s="3">
        <v>333353</v>
      </c>
      <c r="C66" s="3">
        <v>11179</v>
      </c>
      <c r="D66" s="3">
        <f t="shared" si="0"/>
        <v>344532</v>
      </c>
      <c r="E66" s="4">
        <f t="shared" si="1"/>
        <v>3858.2523148148148</v>
      </c>
      <c r="F66" s="4">
        <f t="shared" si="1"/>
        <v>129.38657407407408</v>
      </c>
      <c r="G66" s="4">
        <f t="shared" si="2"/>
        <v>3987.6388888888887</v>
      </c>
      <c r="H66" s="3">
        <v>317974</v>
      </c>
      <c r="I66" s="4">
        <f t="shared" si="3"/>
        <v>3680.2546296296296</v>
      </c>
      <c r="J66" s="5">
        <f t="shared" si="4"/>
        <v>7.7084276641937469E-2</v>
      </c>
      <c r="K66" s="7">
        <v>41.192728924925724</v>
      </c>
      <c r="L66" s="7">
        <v>16.44785122926902</v>
      </c>
      <c r="M66" s="3">
        <v>26200.000000003456</v>
      </c>
      <c r="N66" s="3">
        <v>7119.9999999989814</v>
      </c>
      <c r="O66" s="3">
        <f t="shared" si="5"/>
        <v>33320.000000002437</v>
      </c>
      <c r="P66" s="6">
        <f t="shared" si="7"/>
        <v>7.6045185933392129E-2</v>
      </c>
      <c r="Q66" s="6">
        <f t="shared" si="8"/>
        <v>2.0665714650595537E-2</v>
      </c>
      <c r="R66" s="6">
        <f t="shared" si="9"/>
        <v>9.6710900583987666E-2</v>
      </c>
      <c r="S66" s="6">
        <f t="shared" si="6"/>
        <v>9.9954102707947537E-2</v>
      </c>
    </row>
    <row r="67" spans="1:19" x14ac:dyDescent="0.35">
      <c r="A67" s="2">
        <v>45112</v>
      </c>
      <c r="B67" s="3">
        <v>333821</v>
      </c>
      <c r="C67" s="3">
        <v>7694</v>
      </c>
      <c r="D67" s="3">
        <f t="shared" si="0"/>
        <v>341515</v>
      </c>
      <c r="E67" s="4">
        <f t="shared" si="1"/>
        <v>3863.6689814814813</v>
      </c>
      <c r="F67" s="4">
        <f t="shared" si="1"/>
        <v>89.050925925925924</v>
      </c>
      <c r="G67" s="4">
        <f t="shared" si="2"/>
        <v>3952.7199074074074</v>
      </c>
      <c r="H67" s="3">
        <v>317716</v>
      </c>
      <c r="I67" s="4">
        <f t="shared" si="3"/>
        <v>3677.2685185185182</v>
      </c>
      <c r="J67" s="5">
        <f t="shared" si="4"/>
        <v>6.9686543782849941E-2</v>
      </c>
      <c r="K67" s="7">
        <v>44.324920780164547</v>
      </c>
      <c r="L67" s="7">
        <v>19.361442741893914</v>
      </c>
      <c r="M67" s="3">
        <v>26199.999999998909</v>
      </c>
      <c r="N67" s="3">
        <v>5820.0000000006185</v>
      </c>
      <c r="O67" s="3">
        <f t="shared" si="5"/>
        <v>32019.999999999527</v>
      </c>
      <c r="P67" s="6">
        <f t="shared" si="7"/>
        <v>7.6716981684549462E-2</v>
      </c>
      <c r="Q67" s="6">
        <f t="shared" si="8"/>
        <v>1.7041711198631446E-2</v>
      </c>
      <c r="R67" s="6">
        <f t="shared" si="9"/>
        <v>9.3758692883180908E-2</v>
      </c>
      <c r="S67" s="6">
        <f t="shared" si="6"/>
        <v>9.5919669523485726E-2</v>
      </c>
    </row>
    <row r="68" spans="1:19" x14ac:dyDescent="0.35">
      <c r="A68" s="2">
        <v>45113</v>
      </c>
      <c r="B68" s="3">
        <v>333580</v>
      </c>
      <c r="C68" s="3">
        <v>9887</v>
      </c>
      <c r="D68" s="3">
        <f t="shared" ref="D68:D131" si="10">SUM(B68:C68)</f>
        <v>343467</v>
      </c>
      <c r="E68" s="4">
        <f t="shared" ref="E68:F131" si="11">B68/86.4</f>
        <v>3860.8796296296296</v>
      </c>
      <c r="F68" s="4">
        <f t="shared" si="11"/>
        <v>114.43287037037037</v>
      </c>
      <c r="G68" s="4">
        <f t="shared" ref="G68:G131" si="12">SUM(E68:F68)</f>
        <v>3975.3125</v>
      </c>
      <c r="H68" s="3">
        <v>316508</v>
      </c>
      <c r="I68" s="4">
        <f t="shared" ref="I68:I131" si="13">H68/86.4</f>
        <v>3663.287037037037</v>
      </c>
      <c r="J68" s="5">
        <f t="shared" ref="J68:J131" si="14">(D68-H68)/D68</f>
        <v>7.849080115411379E-2</v>
      </c>
      <c r="K68" s="7">
        <v>43.425755819415343</v>
      </c>
      <c r="L68" s="7">
        <v>20.108490522661917</v>
      </c>
      <c r="M68" s="3">
        <v>26479.999999996835</v>
      </c>
      <c r="N68" s="3">
        <v>5799.9999999997272</v>
      </c>
      <c r="O68" s="3">
        <f t="shared" ref="O68:O131" si="15">SUM(M68:N68)</f>
        <v>32279.999999996562</v>
      </c>
      <c r="P68" s="6">
        <f t="shared" si="7"/>
        <v>7.7096198470295071E-2</v>
      </c>
      <c r="Q68" s="6">
        <f t="shared" si="8"/>
        <v>1.6886629574310565E-2</v>
      </c>
      <c r="R68" s="6">
        <f t="shared" ref="R68:R131" si="16">O68/$D68</f>
        <v>9.3982828044605629E-2</v>
      </c>
      <c r="S68" s="6">
        <f t="shared" ref="S68:S131" si="17">O68/B68</f>
        <v>9.6768391390360822E-2</v>
      </c>
    </row>
    <row r="69" spans="1:19" x14ac:dyDescent="0.35">
      <c r="A69" s="2">
        <v>45114</v>
      </c>
      <c r="B69" s="3">
        <v>333021</v>
      </c>
      <c r="C69" s="3">
        <v>7483</v>
      </c>
      <c r="D69" s="3">
        <f t="shared" si="10"/>
        <v>340504</v>
      </c>
      <c r="E69" s="4">
        <f t="shared" si="11"/>
        <v>3854.4097222222222</v>
      </c>
      <c r="F69" s="4">
        <f t="shared" si="11"/>
        <v>86.608796296296291</v>
      </c>
      <c r="G69" s="4">
        <f t="shared" si="12"/>
        <v>3941.0185185185182</v>
      </c>
      <c r="H69" s="3">
        <v>317262</v>
      </c>
      <c r="I69" s="4">
        <f t="shared" si="13"/>
        <v>3672.0138888888887</v>
      </c>
      <c r="J69" s="5">
        <f t="shared" si="14"/>
        <v>6.8257641613608061E-2</v>
      </c>
      <c r="K69" s="7">
        <v>43.670631988431232</v>
      </c>
      <c r="L69" s="7">
        <v>20.150464355510596</v>
      </c>
      <c r="M69" s="3">
        <v>26280.000000003383</v>
      </c>
      <c r="N69" s="3">
        <v>5780.0000000011096</v>
      </c>
      <c r="O69" s="3">
        <f t="shared" si="15"/>
        <v>32060.000000004493</v>
      </c>
      <c r="P69" s="6">
        <f t="shared" ref="P69:P132" si="18">M69/$D69</f>
        <v>7.717971007683723E-2</v>
      </c>
      <c r="Q69" s="6">
        <f t="shared" ref="Q69:Q132" si="19">N69/$D69</f>
        <v>1.6974837300005607E-2</v>
      </c>
      <c r="R69" s="6">
        <f t="shared" si="16"/>
        <v>9.415454737684284E-2</v>
      </c>
      <c r="S69" s="6">
        <f t="shared" si="17"/>
        <v>9.6270205182269267E-2</v>
      </c>
    </row>
    <row r="70" spans="1:19" x14ac:dyDescent="0.35">
      <c r="A70" s="2">
        <v>45115</v>
      </c>
      <c r="B70" s="3">
        <v>332309</v>
      </c>
      <c r="C70" s="3">
        <v>9862</v>
      </c>
      <c r="D70" s="3">
        <f t="shared" si="10"/>
        <v>342171</v>
      </c>
      <c r="E70" s="4">
        <f t="shared" si="11"/>
        <v>3846.1689814814813</v>
      </c>
      <c r="F70" s="4">
        <f t="shared" si="11"/>
        <v>114.1435185185185</v>
      </c>
      <c r="G70" s="4">
        <f t="shared" si="12"/>
        <v>3960.3125</v>
      </c>
      <c r="H70" s="3">
        <v>314772</v>
      </c>
      <c r="I70" s="4">
        <f t="shared" si="13"/>
        <v>3643.1944444444443</v>
      </c>
      <c r="J70" s="5">
        <f t="shared" si="14"/>
        <v>8.0073998088674964E-2</v>
      </c>
      <c r="K70" s="7">
        <v>40.695642300097624</v>
      </c>
      <c r="L70" s="7">
        <v>18.820389239266621</v>
      </c>
      <c r="M70" s="3">
        <v>25960.000000000036</v>
      </c>
      <c r="N70" s="3">
        <v>4919.9999999991633</v>
      </c>
      <c r="O70" s="3">
        <f t="shared" si="15"/>
        <v>30879.9999999992</v>
      </c>
      <c r="P70" s="6">
        <f t="shared" si="18"/>
        <v>7.5868498499288478E-2</v>
      </c>
      <c r="Q70" s="6">
        <f t="shared" si="19"/>
        <v>1.4378775524515996E-2</v>
      </c>
      <c r="R70" s="6">
        <f t="shared" si="16"/>
        <v>9.0247274023804475E-2</v>
      </c>
      <c r="S70" s="6">
        <f t="shared" si="17"/>
        <v>9.2925560246635508E-2</v>
      </c>
    </row>
    <row r="71" spans="1:19" x14ac:dyDescent="0.35">
      <c r="A71" s="2">
        <v>45116</v>
      </c>
      <c r="B71" s="3">
        <v>331796</v>
      </c>
      <c r="C71" s="3">
        <v>7678</v>
      </c>
      <c r="D71" s="3">
        <f t="shared" si="10"/>
        <v>339474</v>
      </c>
      <c r="E71" s="4">
        <f t="shared" si="11"/>
        <v>3840.2314814814813</v>
      </c>
      <c r="F71" s="4">
        <f t="shared" si="11"/>
        <v>88.865740740740733</v>
      </c>
      <c r="G71" s="4">
        <f t="shared" si="12"/>
        <v>3929.0972222222222</v>
      </c>
      <c r="H71" s="3">
        <v>314120</v>
      </c>
      <c r="I71" s="4">
        <f t="shared" si="13"/>
        <v>3635.6481481481478</v>
      </c>
      <c r="J71" s="5">
        <f t="shared" si="14"/>
        <v>7.4686132074915895E-2</v>
      </c>
      <c r="K71" s="7">
        <v>49.357630472658911</v>
      </c>
      <c r="L71" s="7">
        <v>19.677963311344644</v>
      </c>
      <c r="M71" s="3">
        <v>25919.999999997344</v>
      </c>
      <c r="N71" s="3">
        <v>4899.9999999996362</v>
      </c>
      <c r="O71" s="3">
        <f t="shared" si="15"/>
        <v>30819.99999999698</v>
      </c>
      <c r="P71" s="6">
        <f t="shared" si="18"/>
        <v>7.6353417345650459E-2</v>
      </c>
      <c r="Q71" s="6">
        <f t="shared" si="19"/>
        <v>1.4434095100065502E-2</v>
      </c>
      <c r="R71" s="6">
        <f t="shared" si="16"/>
        <v>9.0787512445715965E-2</v>
      </c>
      <c r="S71" s="6">
        <f t="shared" si="17"/>
        <v>9.2888401306817983E-2</v>
      </c>
    </row>
    <row r="72" spans="1:19" x14ac:dyDescent="0.35">
      <c r="A72" s="2">
        <v>45117</v>
      </c>
      <c r="B72" s="3">
        <v>332518</v>
      </c>
      <c r="C72" s="3">
        <v>11598</v>
      </c>
      <c r="D72" s="3">
        <f t="shared" si="10"/>
        <v>344116</v>
      </c>
      <c r="E72" s="4">
        <f t="shared" si="11"/>
        <v>3848.5879629629626</v>
      </c>
      <c r="F72" s="4">
        <f t="shared" si="11"/>
        <v>134.23611111111111</v>
      </c>
      <c r="G72" s="4">
        <f t="shared" si="12"/>
        <v>3982.8240740740739</v>
      </c>
      <c r="H72" s="3">
        <v>318756</v>
      </c>
      <c r="I72" s="4">
        <f t="shared" si="13"/>
        <v>3689.3055555555552</v>
      </c>
      <c r="J72" s="5">
        <f t="shared" si="14"/>
        <v>7.3696079229097169E-2</v>
      </c>
      <c r="K72" s="7">
        <v>41.912453256451847</v>
      </c>
      <c r="L72" s="7">
        <v>14.510032192857002</v>
      </c>
      <c r="M72" s="3">
        <v>26640.000000000327</v>
      </c>
      <c r="N72" s="3">
        <v>5620.0000000003456</v>
      </c>
      <c r="O72" s="3">
        <f t="shared" si="15"/>
        <v>32260.000000000673</v>
      </c>
      <c r="P72" s="6">
        <f t="shared" si="18"/>
        <v>7.7415755152333302E-2</v>
      </c>
      <c r="Q72" s="6">
        <f t="shared" si="19"/>
        <v>1.6331702100455502E-2</v>
      </c>
      <c r="R72" s="6">
        <f t="shared" si="16"/>
        <v>9.374745725278881E-2</v>
      </c>
      <c r="S72" s="6">
        <f t="shared" si="17"/>
        <v>9.7017304326384349E-2</v>
      </c>
    </row>
    <row r="73" spans="1:19" x14ac:dyDescent="0.35">
      <c r="A73" s="2">
        <v>45118</v>
      </c>
      <c r="B73" s="3">
        <v>333491</v>
      </c>
      <c r="C73" s="3">
        <v>10345</v>
      </c>
      <c r="D73" s="3">
        <f t="shared" si="10"/>
        <v>343836</v>
      </c>
      <c r="E73" s="4">
        <f t="shared" si="11"/>
        <v>3859.849537037037</v>
      </c>
      <c r="F73" s="4">
        <f t="shared" si="11"/>
        <v>119.73379629629629</v>
      </c>
      <c r="G73" s="4">
        <f t="shared" si="12"/>
        <v>3979.583333333333</v>
      </c>
      <c r="H73" s="3">
        <v>319294</v>
      </c>
      <c r="I73" s="4">
        <f t="shared" si="13"/>
        <v>3695.5324074074074</v>
      </c>
      <c r="J73" s="5">
        <f t="shared" si="14"/>
        <v>7.137705185030073E-2</v>
      </c>
      <c r="K73" s="7">
        <v>45.258623999972912</v>
      </c>
      <c r="L73" s="7">
        <v>21.074791208991158</v>
      </c>
      <c r="M73" s="3">
        <v>26560.00000000131</v>
      </c>
      <c r="N73" s="3">
        <v>5539.9999999990541</v>
      </c>
      <c r="O73" s="3">
        <f t="shared" si="15"/>
        <v>32100.000000000364</v>
      </c>
      <c r="P73" s="6">
        <f t="shared" si="18"/>
        <v>7.7246128968465513E-2</v>
      </c>
      <c r="Q73" s="6">
        <f t="shared" si="19"/>
        <v>1.611233262368994E-2</v>
      </c>
      <c r="R73" s="6">
        <f t="shared" si="16"/>
        <v>9.3358461592155453E-2</v>
      </c>
      <c r="S73" s="6">
        <f t="shared" si="17"/>
        <v>9.6254471634917779E-2</v>
      </c>
    </row>
    <row r="74" spans="1:19" x14ac:dyDescent="0.35">
      <c r="A74" s="2">
        <v>45119</v>
      </c>
      <c r="B74" s="3">
        <v>333133</v>
      </c>
      <c r="C74" s="3">
        <v>12166</v>
      </c>
      <c r="D74" s="3">
        <f t="shared" si="10"/>
        <v>345299</v>
      </c>
      <c r="E74" s="4">
        <f t="shared" si="11"/>
        <v>3855.7060185185182</v>
      </c>
      <c r="F74" s="4">
        <f t="shared" si="11"/>
        <v>140.81018518518516</v>
      </c>
      <c r="G74" s="4">
        <f t="shared" si="12"/>
        <v>3996.5162037037035</v>
      </c>
      <c r="H74" s="3">
        <v>319320</v>
      </c>
      <c r="I74" s="4">
        <f t="shared" si="13"/>
        <v>3695.833333333333</v>
      </c>
      <c r="J74" s="5">
        <f t="shared" si="14"/>
        <v>7.52362445301029E-2</v>
      </c>
      <c r="K74" s="7">
        <v>42.686309880815848</v>
      </c>
      <c r="L74" s="7">
        <v>19.313217290799646</v>
      </c>
      <c r="M74" s="3">
        <v>26199.999999998909</v>
      </c>
      <c r="N74" s="3">
        <v>5740.0000000016007</v>
      </c>
      <c r="O74" s="3">
        <f t="shared" si="15"/>
        <v>31940.000000000509</v>
      </c>
      <c r="P74" s="6">
        <f t="shared" si="18"/>
        <v>7.5876269551892445E-2</v>
      </c>
      <c r="Q74" s="6">
        <f t="shared" si="19"/>
        <v>1.6623274321679475E-2</v>
      </c>
      <c r="R74" s="6">
        <f t="shared" si="16"/>
        <v>9.2499543873571913E-2</v>
      </c>
      <c r="S74" s="6">
        <f t="shared" si="17"/>
        <v>9.587762245109463E-2</v>
      </c>
    </row>
    <row r="75" spans="1:19" x14ac:dyDescent="0.35">
      <c r="A75" s="2">
        <v>45120</v>
      </c>
      <c r="B75" s="3">
        <v>332754</v>
      </c>
      <c r="C75" s="3">
        <v>12026</v>
      </c>
      <c r="D75" s="3">
        <f t="shared" si="10"/>
        <v>344780</v>
      </c>
      <c r="E75" s="4">
        <f t="shared" si="11"/>
        <v>3851.3194444444443</v>
      </c>
      <c r="F75" s="4">
        <f t="shared" si="11"/>
        <v>139.18981481481481</v>
      </c>
      <c r="G75" s="4">
        <f t="shared" si="12"/>
        <v>3990.5092592592591</v>
      </c>
      <c r="H75" s="3">
        <v>319146</v>
      </c>
      <c r="I75" s="4">
        <f t="shared" si="13"/>
        <v>3693.8194444444443</v>
      </c>
      <c r="J75" s="5">
        <f t="shared" si="14"/>
        <v>7.4348860142699688E-2</v>
      </c>
      <c r="K75" s="7">
        <v>42.90160380654472</v>
      </c>
      <c r="L75" s="7">
        <v>20.557340078022182</v>
      </c>
      <c r="M75" s="3">
        <v>26519.999999999527</v>
      </c>
      <c r="N75" s="3">
        <v>5799.9999999988177</v>
      </c>
      <c r="O75" s="3">
        <f t="shared" si="15"/>
        <v>32319.999999998345</v>
      </c>
      <c r="P75" s="6">
        <f t="shared" si="18"/>
        <v>7.6918614768836727E-2</v>
      </c>
      <c r="Q75" s="6">
        <f t="shared" si="19"/>
        <v>1.682232148036086E-2</v>
      </c>
      <c r="R75" s="6">
        <f t="shared" si="16"/>
        <v>9.374093624919759E-2</v>
      </c>
      <c r="S75" s="6">
        <f t="shared" si="17"/>
        <v>9.7128809871551786E-2</v>
      </c>
    </row>
    <row r="76" spans="1:19" x14ac:dyDescent="0.35">
      <c r="A76" s="2">
        <v>45121</v>
      </c>
      <c r="B76" s="3">
        <v>332272</v>
      </c>
      <c r="C76" s="3">
        <v>11297</v>
      </c>
      <c r="D76" s="3">
        <f t="shared" si="10"/>
        <v>343569</v>
      </c>
      <c r="E76" s="4">
        <f t="shared" si="11"/>
        <v>3845.7407407407404</v>
      </c>
      <c r="F76" s="4">
        <f t="shared" si="11"/>
        <v>130.75231481481481</v>
      </c>
      <c r="G76" s="4">
        <f t="shared" si="12"/>
        <v>3976.4930555555552</v>
      </c>
      <c r="H76" s="3">
        <v>319072</v>
      </c>
      <c r="I76" s="4">
        <f t="shared" si="13"/>
        <v>3692.9629629629626</v>
      </c>
      <c r="J76" s="5">
        <f t="shared" si="14"/>
        <v>7.1301543503633907E-2</v>
      </c>
      <c r="K76" s="7">
        <v>40.156059098153484</v>
      </c>
      <c r="L76" s="7">
        <v>18.800800042767236</v>
      </c>
      <c r="M76" s="3">
        <v>26639.999999999418</v>
      </c>
      <c r="N76" s="3">
        <v>5380.0000000014734</v>
      </c>
      <c r="O76" s="3">
        <f t="shared" si="15"/>
        <v>32020.000000000891</v>
      </c>
      <c r="P76" s="6">
        <f t="shared" si="18"/>
        <v>7.7539009631251418E-2</v>
      </c>
      <c r="Q76" s="6">
        <f t="shared" si="19"/>
        <v>1.5659154347457058E-2</v>
      </c>
      <c r="R76" s="6">
        <f t="shared" si="16"/>
        <v>9.3198163978708476E-2</v>
      </c>
      <c r="S76" s="6">
        <f t="shared" si="17"/>
        <v>9.63668319930686E-2</v>
      </c>
    </row>
    <row r="77" spans="1:19" x14ac:dyDescent="0.35">
      <c r="A77" s="2">
        <v>45122</v>
      </c>
      <c r="B77" s="3">
        <v>333227</v>
      </c>
      <c r="C77" s="3">
        <v>6707</v>
      </c>
      <c r="D77" s="3">
        <f t="shared" si="10"/>
        <v>339934</v>
      </c>
      <c r="E77" s="4">
        <f t="shared" si="11"/>
        <v>3856.7939814814813</v>
      </c>
      <c r="F77" s="4">
        <f t="shared" si="11"/>
        <v>77.62731481481481</v>
      </c>
      <c r="G77" s="4">
        <f t="shared" si="12"/>
        <v>3934.4212962962961</v>
      </c>
      <c r="H77" s="3">
        <v>313724</v>
      </c>
      <c r="I77" s="4">
        <f t="shared" si="13"/>
        <v>3631.0648148148148</v>
      </c>
      <c r="J77" s="5">
        <f t="shared" si="14"/>
        <v>7.710320238634559E-2</v>
      </c>
      <c r="K77" s="7">
        <v>40.022578962326392</v>
      </c>
      <c r="L77" s="7">
        <v>17.71950886142444</v>
      </c>
      <c r="M77" s="3">
        <v>25440.000000002328</v>
      </c>
      <c r="N77" s="3">
        <v>4559.9999999981264</v>
      </c>
      <c r="O77" s="3">
        <f t="shared" si="15"/>
        <v>30000.000000000455</v>
      </c>
      <c r="P77" s="6">
        <f t="shared" si="18"/>
        <v>7.4838056799267888E-2</v>
      </c>
      <c r="Q77" s="6">
        <f t="shared" si="19"/>
        <v>1.3414368671560145E-2</v>
      </c>
      <c r="R77" s="6">
        <f t="shared" si="16"/>
        <v>8.8252425470828025E-2</v>
      </c>
      <c r="S77" s="6">
        <f t="shared" si="17"/>
        <v>9.0028719161413862E-2</v>
      </c>
    </row>
    <row r="78" spans="1:19" x14ac:dyDescent="0.35">
      <c r="A78" s="2">
        <v>45123</v>
      </c>
      <c r="B78" s="3">
        <v>324517</v>
      </c>
      <c r="C78" s="3">
        <v>12653</v>
      </c>
      <c r="D78" s="3">
        <f t="shared" si="10"/>
        <v>337170</v>
      </c>
      <c r="E78" s="4">
        <f t="shared" si="11"/>
        <v>3755.9837962962961</v>
      </c>
      <c r="F78" s="4">
        <f t="shared" si="11"/>
        <v>146.44675925925924</v>
      </c>
      <c r="G78" s="4">
        <f t="shared" si="12"/>
        <v>3902.4305555555552</v>
      </c>
      <c r="H78" s="3">
        <v>312006</v>
      </c>
      <c r="I78" s="4">
        <f t="shared" si="13"/>
        <v>3611.1805555555552</v>
      </c>
      <c r="J78" s="5">
        <f t="shared" si="14"/>
        <v>7.4632974463920282E-2</v>
      </c>
      <c r="K78" s="7">
        <v>43.037923052081851</v>
      </c>
      <c r="L78" s="7">
        <v>20.215394357358122</v>
      </c>
      <c r="M78" s="3">
        <v>25359.999999998763</v>
      </c>
      <c r="N78" s="3">
        <v>5940.0000000014188</v>
      </c>
      <c r="O78" s="3">
        <f t="shared" si="15"/>
        <v>31300.000000000182</v>
      </c>
      <c r="P78" s="6">
        <f t="shared" si="18"/>
        <v>7.5214283595808534E-2</v>
      </c>
      <c r="Q78" s="6">
        <f t="shared" si="19"/>
        <v>1.7617225731830884E-2</v>
      </c>
      <c r="R78" s="6">
        <f t="shared" si="16"/>
        <v>9.2831509327639422E-2</v>
      </c>
      <c r="S78" s="6">
        <f t="shared" si="17"/>
        <v>9.6451033381918919E-2</v>
      </c>
    </row>
    <row r="79" spans="1:19" x14ac:dyDescent="0.35">
      <c r="A79" s="8">
        <v>45124</v>
      </c>
      <c r="B79" s="3">
        <v>333973</v>
      </c>
      <c r="C79" s="3">
        <v>9472</v>
      </c>
      <c r="D79" s="3">
        <f t="shared" si="10"/>
        <v>343445</v>
      </c>
      <c r="E79" s="4">
        <f t="shared" si="11"/>
        <v>3865.4282407407404</v>
      </c>
      <c r="F79" s="4">
        <f t="shared" si="11"/>
        <v>109.62962962962962</v>
      </c>
      <c r="G79" s="4">
        <f t="shared" si="12"/>
        <v>3975.05787037037</v>
      </c>
      <c r="H79" s="3">
        <v>318177</v>
      </c>
      <c r="I79" s="4">
        <f t="shared" si="13"/>
        <v>3682.6041666666665</v>
      </c>
      <c r="J79" s="5">
        <f t="shared" si="14"/>
        <v>7.3572187686529136E-2</v>
      </c>
      <c r="K79" s="7">
        <v>39.757550775237746</v>
      </c>
      <c r="L79" s="7">
        <v>17.373530044116318</v>
      </c>
      <c r="M79" s="3">
        <v>26400.000000002365</v>
      </c>
      <c r="N79" s="3">
        <v>5639.9999999989632</v>
      </c>
      <c r="O79" s="3">
        <f t="shared" si="15"/>
        <v>32040.000000001328</v>
      </c>
      <c r="P79" s="6">
        <f t="shared" si="18"/>
        <v>7.6868203060176638E-2</v>
      </c>
      <c r="Q79" s="6">
        <f t="shared" si="19"/>
        <v>1.6421843381033245E-2</v>
      </c>
      <c r="R79" s="6">
        <f t="shared" si="16"/>
        <v>9.3290046441209876E-2</v>
      </c>
      <c r="S79" s="6">
        <f t="shared" si="17"/>
        <v>9.5935899009804163E-2</v>
      </c>
    </row>
    <row r="80" spans="1:19" x14ac:dyDescent="0.35">
      <c r="A80" s="2">
        <v>45125</v>
      </c>
      <c r="B80" s="3">
        <v>332845</v>
      </c>
      <c r="C80" s="3">
        <v>8196</v>
      </c>
      <c r="D80" s="3">
        <f t="shared" si="10"/>
        <v>341041</v>
      </c>
      <c r="E80" s="4">
        <f t="shared" si="11"/>
        <v>3852.3726851851848</v>
      </c>
      <c r="F80" s="4">
        <f t="shared" si="11"/>
        <v>94.8611111111111</v>
      </c>
      <c r="G80" s="4">
        <f t="shared" si="12"/>
        <v>3947.2337962962961</v>
      </c>
      <c r="H80" s="3">
        <v>315847</v>
      </c>
      <c r="I80" s="4">
        <f t="shared" si="13"/>
        <v>3655.6365740740739</v>
      </c>
      <c r="J80" s="5">
        <f t="shared" si="14"/>
        <v>7.3873815758222619E-2</v>
      </c>
      <c r="K80" s="7">
        <v>46.288789056830524</v>
      </c>
      <c r="L80" s="7">
        <v>21.579501903672984</v>
      </c>
      <c r="M80" s="3">
        <v>25879.99999999829</v>
      </c>
      <c r="N80" s="3">
        <v>5360.0000000010368</v>
      </c>
      <c r="O80" s="3">
        <f t="shared" si="15"/>
        <v>31239.999999999327</v>
      </c>
      <c r="P80" s="6">
        <f t="shared" si="18"/>
        <v>7.5885304112990201E-2</v>
      </c>
      <c r="Q80" s="6">
        <f t="shared" si="19"/>
        <v>1.5716585395893858E-2</v>
      </c>
      <c r="R80" s="6">
        <f t="shared" si="16"/>
        <v>9.1601889508884052E-2</v>
      </c>
      <c r="S80" s="6">
        <f t="shared" si="17"/>
        <v>9.3857501239313579E-2</v>
      </c>
    </row>
    <row r="81" spans="1:19" x14ac:dyDescent="0.35">
      <c r="A81" s="2">
        <v>45126</v>
      </c>
      <c r="B81" s="3">
        <v>333026</v>
      </c>
      <c r="C81" s="3">
        <v>6739</v>
      </c>
      <c r="D81" s="3">
        <f t="shared" si="10"/>
        <v>339765</v>
      </c>
      <c r="E81" s="4">
        <f t="shared" si="11"/>
        <v>3854.4675925925922</v>
      </c>
      <c r="F81" s="4">
        <f t="shared" si="11"/>
        <v>77.997685185185176</v>
      </c>
      <c r="G81" s="4">
        <f t="shared" si="12"/>
        <v>3932.4652777777774</v>
      </c>
      <c r="H81" s="3">
        <v>311482</v>
      </c>
      <c r="I81" s="4">
        <f t="shared" si="13"/>
        <v>3605.1157407407404</v>
      </c>
      <c r="J81" s="5">
        <f t="shared" si="14"/>
        <v>8.3242829602813706E-2</v>
      </c>
      <c r="K81" s="7">
        <v>47.720661943048164</v>
      </c>
      <c r="L81" s="7">
        <v>22.526966300471681</v>
      </c>
      <c r="M81" s="3">
        <v>24679.999999997563</v>
      </c>
      <c r="N81" s="3">
        <v>4660.0000000003092</v>
      </c>
      <c r="O81" s="3">
        <f t="shared" si="15"/>
        <v>29339.999999997872</v>
      </c>
      <c r="P81" s="6">
        <f t="shared" si="18"/>
        <v>7.2638441275580362E-2</v>
      </c>
      <c r="Q81" s="6">
        <f t="shared" si="19"/>
        <v>1.3715362088503257E-2</v>
      </c>
      <c r="R81" s="6">
        <f t="shared" si="16"/>
        <v>8.6353803364083617E-2</v>
      </c>
      <c r="S81" s="6">
        <f t="shared" si="17"/>
        <v>8.8101229333439043E-2</v>
      </c>
    </row>
    <row r="82" spans="1:19" x14ac:dyDescent="0.35">
      <c r="A82" s="2">
        <v>45127</v>
      </c>
      <c r="B82" s="3">
        <v>333755</v>
      </c>
      <c r="C82" s="3">
        <v>5367</v>
      </c>
      <c r="D82" s="3">
        <f t="shared" si="10"/>
        <v>339122</v>
      </c>
      <c r="E82" s="4">
        <f t="shared" si="11"/>
        <v>3862.9050925925922</v>
      </c>
      <c r="F82" s="4">
        <f t="shared" si="11"/>
        <v>62.11805555555555</v>
      </c>
      <c r="G82" s="4">
        <f t="shared" si="12"/>
        <v>3925.0231481481478</v>
      </c>
      <c r="H82" s="3">
        <v>314890</v>
      </c>
      <c r="I82" s="4">
        <f t="shared" si="13"/>
        <v>3644.5601851851848</v>
      </c>
      <c r="J82" s="5">
        <f t="shared" si="14"/>
        <v>7.1455110550185483E-2</v>
      </c>
      <c r="K82" s="7">
        <v>48.591907636509248</v>
      </c>
      <c r="L82" s="7">
        <v>18.66338846051941</v>
      </c>
      <c r="M82" s="3">
        <v>26000.000000001819</v>
      </c>
      <c r="N82" s="3">
        <v>5619.9999999985266</v>
      </c>
      <c r="O82" s="3">
        <f t="shared" si="15"/>
        <v>31620.000000000346</v>
      </c>
      <c r="P82" s="6">
        <f t="shared" si="18"/>
        <v>7.6668573551706518E-2</v>
      </c>
      <c r="Q82" s="6">
        <f t="shared" si="19"/>
        <v>1.6572207052324907E-2</v>
      </c>
      <c r="R82" s="6">
        <f t="shared" si="16"/>
        <v>9.3240780604031431E-2</v>
      </c>
      <c r="S82" s="6">
        <f t="shared" si="17"/>
        <v>9.4740153705563504E-2</v>
      </c>
    </row>
    <row r="83" spans="1:19" x14ac:dyDescent="0.35">
      <c r="A83" s="2">
        <v>45128</v>
      </c>
      <c r="B83" s="3">
        <v>333485</v>
      </c>
      <c r="C83" s="3">
        <v>8502</v>
      </c>
      <c r="D83" s="3">
        <f t="shared" si="10"/>
        <v>341987</v>
      </c>
      <c r="E83" s="4">
        <f t="shared" si="11"/>
        <v>3859.7800925925922</v>
      </c>
      <c r="F83" s="4">
        <f t="shared" si="11"/>
        <v>98.402777777777771</v>
      </c>
      <c r="G83" s="4">
        <f t="shared" si="12"/>
        <v>3958.18287037037</v>
      </c>
      <c r="H83" s="3">
        <v>315406</v>
      </c>
      <c r="I83" s="4">
        <f t="shared" si="13"/>
        <v>3650.5324074074074</v>
      </c>
      <c r="J83" s="5">
        <f t="shared" si="14"/>
        <v>7.7725176688002759E-2</v>
      </c>
      <c r="K83" s="7">
        <v>49.343587319382777</v>
      </c>
      <c r="L83" s="7">
        <v>19.665794654749316</v>
      </c>
      <c r="M83" s="3">
        <v>25800.000000000182</v>
      </c>
      <c r="N83" s="3">
        <v>5800.0000000015461</v>
      </c>
      <c r="O83" s="3">
        <f t="shared" si="15"/>
        <v>31600.000000001728</v>
      </c>
      <c r="P83" s="6">
        <f t="shared" si="18"/>
        <v>7.5441464149222578E-2</v>
      </c>
      <c r="Q83" s="6">
        <f t="shared" si="19"/>
        <v>1.6959708994790872E-2</v>
      </c>
      <c r="R83" s="6">
        <f t="shared" si="16"/>
        <v>9.2401173144013457E-2</v>
      </c>
      <c r="S83" s="6">
        <f t="shared" si="17"/>
        <v>9.4756885617049424E-2</v>
      </c>
    </row>
    <row r="84" spans="1:19" x14ac:dyDescent="0.35">
      <c r="A84" s="2">
        <v>45129</v>
      </c>
      <c r="B84" s="3">
        <v>332710</v>
      </c>
      <c r="C84" s="3">
        <v>12456</v>
      </c>
      <c r="D84" s="3">
        <f t="shared" si="10"/>
        <v>345166</v>
      </c>
      <c r="E84" s="4">
        <f t="shared" si="11"/>
        <v>3850.8101851851848</v>
      </c>
      <c r="F84" s="4">
        <f t="shared" si="11"/>
        <v>144.16666666666666</v>
      </c>
      <c r="G84" s="4">
        <f t="shared" si="12"/>
        <v>3994.9768518518513</v>
      </c>
      <c r="H84" s="3">
        <v>310570</v>
      </c>
      <c r="I84" s="4">
        <f t="shared" si="13"/>
        <v>3594.5601851851848</v>
      </c>
      <c r="J84" s="5">
        <f t="shared" si="14"/>
        <v>0.10023003424439256</v>
      </c>
      <c r="K84" s="7">
        <v>49.243400440929157</v>
      </c>
      <c r="L84" s="7">
        <v>19.484671481529912</v>
      </c>
      <c r="M84" s="3">
        <v>25600.000000001273</v>
      </c>
      <c r="N84" s="3">
        <v>5859.9999999996726</v>
      </c>
      <c r="O84" s="3">
        <f t="shared" si="15"/>
        <v>31460.000000000946</v>
      </c>
      <c r="P84" s="6">
        <f t="shared" si="18"/>
        <v>7.4167212297854584E-2</v>
      </c>
      <c r="Q84" s="6">
        <f t="shared" si="19"/>
        <v>1.6977338440053981E-2</v>
      </c>
      <c r="R84" s="6">
        <f t="shared" si="16"/>
        <v>9.1144550737908558E-2</v>
      </c>
      <c r="S84" s="6">
        <f t="shared" si="17"/>
        <v>9.4556821255751086E-2</v>
      </c>
    </row>
    <row r="85" spans="1:19" x14ac:dyDescent="0.35">
      <c r="A85" s="2">
        <v>45130</v>
      </c>
      <c r="B85" s="3">
        <v>332253</v>
      </c>
      <c r="C85" s="3">
        <v>5139</v>
      </c>
      <c r="D85" s="3">
        <f t="shared" si="10"/>
        <v>337392</v>
      </c>
      <c r="E85" s="4">
        <f t="shared" si="11"/>
        <v>3845.520833333333</v>
      </c>
      <c r="F85" s="4">
        <f t="shared" si="11"/>
        <v>59.479166666666664</v>
      </c>
      <c r="G85" s="4">
        <f t="shared" si="12"/>
        <v>3904.9999999999995</v>
      </c>
      <c r="H85" s="3">
        <v>309564</v>
      </c>
      <c r="I85" s="4">
        <f t="shared" si="13"/>
        <v>3582.9166666666665</v>
      </c>
      <c r="J85" s="5">
        <f t="shared" si="14"/>
        <v>8.2479726845924028E-2</v>
      </c>
      <c r="K85" s="7">
        <v>49.780698112512027</v>
      </c>
      <c r="L85" s="7">
        <v>19.69871845679997</v>
      </c>
      <c r="M85" s="3">
        <v>24639.999999998508</v>
      </c>
      <c r="N85" s="3">
        <v>4499.9999999990905</v>
      </c>
      <c r="O85" s="3">
        <f t="shared" si="15"/>
        <v>29139.999999997599</v>
      </c>
      <c r="P85" s="6">
        <f t="shared" si="18"/>
        <v>7.3030777256124946E-2</v>
      </c>
      <c r="Q85" s="6">
        <f t="shared" si="19"/>
        <v>1.3337601365767685E-2</v>
      </c>
      <c r="R85" s="6">
        <f t="shared" si="16"/>
        <v>8.636837862189263E-2</v>
      </c>
      <c r="S85" s="6">
        <f t="shared" si="17"/>
        <v>8.7704249472533274E-2</v>
      </c>
    </row>
    <row r="86" spans="1:19" x14ac:dyDescent="0.35">
      <c r="A86" s="8">
        <v>45131</v>
      </c>
      <c r="B86" s="3">
        <v>333334</v>
      </c>
      <c r="C86" s="3">
        <v>7423</v>
      </c>
      <c r="D86" s="3">
        <f t="shared" si="10"/>
        <v>340757</v>
      </c>
      <c r="E86" s="4">
        <f t="shared" si="11"/>
        <v>3858.0324074074069</v>
      </c>
      <c r="F86" s="4">
        <f t="shared" si="11"/>
        <v>85.914351851851848</v>
      </c>
      <c r="G86" s="4">
        <f t="shared" si="12"/>
        <v>3943.9467592592587</v>
      </c>
      <c r="H86" s="3">
        <v>315538</v>
      </c>
      <c r="I86" s="4">
        <f t="shared" si="13"/>
        <v>3652.0601851851848</v>
      </c>
      <c r="J86" s="5">
        <f t="shared" si="14"/>
        <v>7.4008751104159262E-2</v>
      </c>
      <c r="K86" s="7">
        <v>51.490884899658425</v>
      </c>
      <c r="L86" s="7">
        <v>19.803234317454738</v>
      </c>
      <c r="M86" s="3">
        <v>26279.999999999745</v>
      </c>
      <c r="N86" s="3">
        <v>5520.0000000004366</v>
      </c>
      <c r="O86" s="3">
        <f t="shared" si="15"/>
        <v>31800.000000000182</v>
      </c>
      <c r="P86" s="6">
        <f t="shared" si="18"/>
        <v>7.7122406876453733E-2</v>
      </c>
      <c r="Q86" s="6">
        <f t="shared" si="19"/>
        <v>1.6199227015146971E-2</v>
      </c>
      <c r="R86" s="6">
        <f t="shared" si="16"/>
        <v>9.3321633891600711E-2</v>
      </c>
      <c r="S86" s="6">
        <f t="shared" si="17"/>
        <v>9.5399809200382144E-2</v>
      </c>
    </row>
    <row r="87" spans="1:19" x14ac:dyDescent="0.35">
      <c r="A87" s="2">
        <v>45132</v>
      </c>
      <c r="B87" s="3">
        <v>333871</v>
      </c>
      <c r="C87" s="3">
        <v>6861</v>
      </c>
      <c r="D87" s="3">
        <f t="shared" si="10"/>
        <v>340732</v>
      </c>
      <c r="E87" s="4">
        <f t="shared" si="11"/>
        <v>3864.2476851851848</v>
      </c>
      <c r="F87" s="4">
        <f t="shared" si="11"/>
        <v>79.409722222222214</v>
      </c>
      <c r="G87" s="4">
        <f t="shared" si="12"/>
        <v>3943.6574074074069</v>
      </c>
      <c r="H87" s="3">
        <v>314142</v>
      </c>
      <c r="I87" s="4">
        <f t="shared" si="13"/>
        <v>3635.9027777777774</v>
      </c>
      <c r="J87" s="5">
        <f t="shared" si="14"/>
        <v>7.8037871406266515E-2</v>
      </c>
      <c r="K87" s="7">
        <v>54.297592971452048</v>
      </c>
      <c r="L87" s="7">
        <v>20.136980720650776</v>
      </c>
      <c r="M87" s="3">
        <v>26079.999999999018</v>
      </c>
      <c r="N87" s="3">
        <v>0</v>
      </c>
      <c r="O87" s="3">
        <f t="shared" si="15"/>
        <v>26079.999999999018</v>
      </c>
      <c r="P87" s="6">
        <f t="shared" si="18"/>
        <v>7.6541093880231434E-2</v>
      </c>
      <c r="Q87" s="6">
        <f t="shared" si="19"/>
        <v>0</v>
      </c>
      <c r="R87" s="6">
        <f t="shared" si="16"/>
        <v>7.6541093880231434E-2</v>
      </c>
      <c r="S87" s="6">
        <f t="shared" si="17"/>
        <v>7.8114002114586231E-2</v>
      </c>
    </row>
    <row r="88" spans="1:19" x14ac:dyDescent="0.35">
      <c r="A88" s="2">
        <v>45133</v>
      </c>
      <c r="B88" s="3">
        <v>333938</v>
      </c>
      <c r="C88" s="3">
        <v>6602</v>
      </c>
      <c r="D88" s="3">
        <f t="shared" si="10"/>
        <v>340540</v>
      </c>
      <c r="E88" s="4">
        <f t="shared" si="11"/>
        <v>3865.0231481481478</v>
      </c>
      <c r="F88" s="4">
        <f t="shared" si="11"/>
        <v>76.412037037037038</v>
      </c>
      <c r="G88" s="4">
        <f t="shared" si="12"/>
        <v>3941.4351851851848</v>
      </c>
      <c r="H88" s="3">
        <v>314366</v>
      </c>
      <c r="I88" s="4">
        <f t="shared" si="13"/>
        <v>3638.49537037037</v>
      </c>
      <c r="J88" s="5">
        <f t="shared" si="14"/>
        <v>7.686028073060433E-2</v>
      </c>
      <c r="K88" s="7">
        <v>41.998980282859137</v>
      </c>
      <c r="L88" s="7">
        <v>17.255751533226189</v>
      </c>
      <c r="M88" s="3">
        <v>25640.000000003056</v>
      </c>
      <c r="N88" s="3">
        <v>10559.999999999491</v>
      </c>
      <c r="O88" s="3">
        <f t="shared" si="15"/>
        <v>36200.000000002547</v>
      </c>
      <c r="P88" s="6">
        <f t="shared" si="18"/>
        <v>7.5292183003474053E-2</v>
      </c>
      <c r="Q88" s="6">
        <f t="shared" si="19"/>
        <v>3.1009573031066807E-2</v>
      </c>
      <c r="R88" s="6">
        <f t="shared" si="16"/>
        <v>0.10630175603454087</v>
      </c>
      <c r="S88" s="6">
        <f t="shared" si="17"/>
        <v>0.10840335631165829</v>
      </c>
    </row>
    <row r="89" spans="1:19" x14ac:dyDescent="0.35">
      <c r="A89" s="2">
        <v>45134</v>
      </c>
      <c r="B89" s="3">
        <v>333329</v>
      </c>
      <c r="C89" s="3">
        <v>5560</v>
      </c>
      <c r="D89" s="3">
        <f t="shared" si="10"/>
        <v>338889</v>
      </c>
      <c r="E89" s="4">
        <f t="shared" si="11"/>
        <v>3857.974537037037</v>
      </c>
      <c r="F89" s="4">
        <f t="shared" si="11"/>
        <v>64.351851851851848</v>
      </c>
      <c r="G89" s="4">
        <f t="shared" si="12"/>
        <v>3922.3263888888887</v>
      </c>
      <c r="H89" s="3">
        <v>313032</v>
      </c>
      <c r="I89" s="4">
        <f t="shared" si="13"/>
        <v>3623.0555555555552</v>
      </c>
      <c r="J89" s="5">
        <f t="shared" si="14"/>
        <v>7.6299319246124833E-2</v>
      </c>
      <c r="K89" s="7">
        <v>53.552648403901017</v>
      </c>
      <c r="L89" s="7">
        <v>20.17967274001106</v>
      </c>
      <c r="M89" s="3">
        <v>25839.999999999236</v>
      </c>
      <c r="N89" s="3">
        <v>5039.9999999995089</v>
      </c>
      <c r="O89" s="3">
        <f t="shared" si="15"/>
        <v>30879.999999998745</v>
      </c>
      <c r="P89" s="6">
        <f t="shared" si="18"/>
        <v>7.6249155328143539E-2</v>
      </c>
      <c r="Q89" s="6">
        <f t="shared" si="19"/>
        <v>1.487212627143256E-2</v>
      </c>
      <c r="R89" s="6">
        <f t="shared" si="16"/>
        <v>9.1121281599576096E-2</v>
      </c>
      <c r="S89" s="6">
        <f t="shared" si="17"/>
        <v>9.2641204335652594E-2</v>
      </c>
    </row>
    <row r="90" spans="1:19" x14ac:dyDescent="0.35">
      <c r="A90" s="2">
        <v>45135</v>
      </c>
      <c r="B90" s="3">
        <v>332802</v>
      </c>
      <c r="C90" s="3">
        <v>8026</v>
      </c>
      <c r="D90" s="3">
        <f t="shared" si="10"/>
        <v>340828</v>
      </c>
      <c r="E90" s="4">
        <f t="shared" si="11"/>
        <v>3851.8749999999995</v>
      </c>
      <c r="F90" s="4">
        <f t="shared" si="11"/>
        <v>92.893518518518519</v>
      </c>
      <c r="G90" s="4">
        <f t="shared" si="12"/>
        <v>3944.7685185185182</v>
      </c>
      <c r="H90" s="3">
        <v>314790</v>
      </c>
      <c r="I90" s="4">
        <f t="shared" si="13"/>
        <v>3643.4027777777774</v>
      </c>
      <c r="J90" s="5">
        <f t="shared" si="14"/>
        <v>7.6396305467860623E-2</v>
      </c>
      <c r="K90" s="7">
        <v>51.101740288377215</v>
      </c>
      <c r="L90" s="7">
        <v>18.669629611085416</v>
      </c>
      <c r="M90" s="3">
        <v>26119.999999999891</v>
      </c>
      <c r="N90" s="3">
        <v>5820.0000000010732</v>
      </c>
      <c r="O90" s="3">
        <f t="shared" si="15"/>
        <v>31940.000000000964</v>
      </c>
      <c r="P90" s="6">
        <f t="shared" si="18"/>
        <v>7.6636896029668597E-2</v>
      </c>
      <c r="Q90" s="6">
        <f t="shared" si="19"/>
        <v>1.7076061825909473E-2</v>
      </c>
      <c r="R90" s="6">
        <f t="shared" si="16"/>
        <v>9.371295785557808E-2</v>
      </c>
      <c r="S90" s="6">
        <f t="shared" si="17"/>
        <v>9.5972980931607874E-2</v>
      </c>
    </row>
    <row r="91" spans="1:19" x14ac:dyDescent="0.35">
      <c r="A91" s="2">
        <v>45136</v>
      </c>
      <c r="B91" s="3">
        <v>332637</v>
      </c>
      <c r="C91" s="3">
        <v>4832</v>
      </c>
      <c r="D91" s="3">
        <f t="shared" si="10"/>
        <v>337469</v>
      </c>
      <c r="E91" s="4">
        <f t="shared" si="11"/>
        <v>3849.9652777777774</v>
      </c>
      <c r="F91" s="4">
        <f t="shared" si="11"/>
        <v>55.925925925925924</v>
      </c>
      <c r="G91" s="4">
        <f t="shared" si="12"/>
        <v>3905.8912037037035</v>
      </c>
      <c r="H91" s="3">
        <v>311894</v>
      </c>
      <c r="I91" s="4">
        <f t="shared" si="13"/>
        <v>3609.8842592592591</v>
      </c>
      <c r="J91" s="5">
        <f t="shared" si="14"/>
        <v>7.5784738746373745E-2</v>
      </c>
      <c r="K91" s="7">
        <v>47.823399388442539</v>
      </c>
      <c r="L91" s="7">
        <v>19.560021270511704</v>
      </c>
      <c r="M91" s="3">
        <v>25440.000000000509</v>
      </c>
      <c r="N91" s="3">
        <v>5360.0000000001273</v>
      </c>
      <c r="O91" s="3">
        <f t="shared" si="15"/>
        <v>30800.000000000637</v>
      </c>
      <c r="P91" s="6">
        <f t="shared" si="18"/>
        <v>7.5384702002259496E-2</v>
      </c>
      <c r="Q91" s="6">
        <f t="shared" si="19"/>
        <v>1.5882940358966681E-2</v>
      </c>
      <c r="R91" s="6">
        <f t="shared" si="16"/>
        <v>9.126764236122617E-2</v>
      </c>
      <c r="S91" s="6">
        <f t="shared" si="17"/>
        <v>9.259342767040539E-2</v>
      </c>
    </row>
    <row r="92" spans="1:19" x14ac:dyDescent="0.35">
      <c r="A92" s="2">
        <v>45137</v>
      </c>
      <c r="B92" s="3">
        <v>331669</v>
      </c>
      <c r="C92" s="3">
        <v>6265</v>
      </c>
      <c r="D92" s="3">
        <f t="shared" si="10"/>
        <v>337934</v>
      </c>
      <c r="E92" s="4">
        <f t="shared" si="11"/>
        <v>3838.7615740740739</v>
      </c>
      <c r="F92" s="4">
        <f t="shared" si="11"/>
        <v>72.511574074074076</v>
      </c>
      <c r="G92" s="4">
        <f t="shared" si="12"/>
        <v>3911.2731481481478</v>
      </c>
      <c r="H92" s="3">
        <v>310348</v>
      </c>
      <c r="I92" s="4">
        <f t="shared" si="13"/>
        <v>3591.9907407407404</v>
      </c>
      <c r="J92" s="5">
        <f t="shared" si="14"/>
        <v>8.1631324459805754E-2</v>
      </c>
      <c r="K92" s="7">
        <v>51.411977489981318</v>
      </c>
      <c r="L92" s="7">
        <v>22.682526780197747</v>
      </c>
      <c r="M92" s="3">
        <v>25119.999999998981</v>
      </c>
      <c r="N92" s="3">
        <v>5160.0000000003092</v>
      </c>
      <c r="O92" s="3">
        <f t="shared" si="15"/>
        <v>30279.999999999291</v>
      </c>
      <c r="P92" s="6">
        <f t="shared" si="18"/>
        <v>7.4334041558407796E-2</v>
      </c>
      <c r="Q92" s="6">
        <f t="shared" si="19"/>
        <v>1.5269253759610781E-2</v>
      </c>
      <c r="R92" s="6">
        <f t="shared" si="16"/>
        <v>8.9603295318018583E-2</v>
      </c>
      <c r="S92" s="6">
        <f t="shared" si="17"/>
        <v>9.1295840129765798E-2</v>
      </c>
    </row>
    <row r="93" spans="1:19" x14ac:dyDescent="0.35">
      <c r="A93" s="8">
        <v>45138</v>
      </c>
      <c r="B93" s="3">
        <v>331481</v>
      </c>
      <c r="C93" s="3">
        <v>15315</v>
      </c>
      <c r="D93" s="3">
        <f t="shared" si="10"/>
        <v>346796</v>
      </c>
      <c r="E93" s="4">
        <f t="shared" si="11"/>
        <v>3836.5856481481478</v>
      </c>
      <c r="F93" s="4">
        <f t="shared" si="11"/>
        <v>177.25694444444443</v>
      </c>
      <c r="G93" s="4">
        <f t="shared" si="12"/>
        <v>4013.8425925925922</v>
      </c>
      <c r="H93" s="3">
        <v>329180</v>
      </c>
      <c r="I93" s="4">
        <f t="shared" si="13"/>
        <v>3809.9537037037035</v>
      </c>
      <c r="J93" s="5">
        <f t="shared" si="14"/>
        <v>5.079643363821959E-2</v>
      </c>
      <c r="K93" s="7">
        <v>50.764944072332696</v>
      </c>
      <c r="L93" s="7">
        <v>20.916221526048087</v>
      </c>
      <c r="M93" s="3">
        <v>34519.999999999527</v>
      </c>
      <c r="N93" s="3">
        <v>7439.9999999995998</v>
      </c>
      <c r="O93" s="3">
        <f t="shared" si="15"/>
        <v>41959.999999999127</v>
      </c>
      <c r="P93" s="6">
        <f t="shared" si="18"/>
        <v>9.953978707943438E-2</v>
      </c>
      <c r="Q93" s="6">
        <f t="shared" si="19"/>
        <v>2.1453534642843632E-2</v>
      </c>
      <c r="R93" s="6">
        <f t="shared" si="16"/>
        <v>0.12099332172227802</v>
      </c>
      <c r="S93" s="6">
        <f t="shared" si="17"/>
        <v>0.12658342408765247</v>
      </c>
    </row>
    <row r="94" spans="1:19" x14ac:dyDescent="0.35">
      <c r="A94" s="2">
        <v>45139</v>
      </c>
      <c r="B94" s="3">
        <v>329413</v>
      </c>
      <c r="C94" s="3">
        <v>30495</v>
      </c>
      <c r="D94" s="3">
        <f t="shared" si="10"/>
        <v>359908</v>
      </c>
      <c r="E94" s="4">
        <f t="shared" si="11"/>
        <v>3812.6504629629626</v>
      </c>
      <c r="F94" s="4">
        <f t="shared" si="11"/>
        <v>352.95138888888886</v>
      </c>
      <c r="G94" s="4">
        <f t="shared" si="12"/>
        <v>4165.6018518518513</v>
      </c>
      <c r="H94" s="3">
        <v>327652</v>
      </c>
      <c r="I94" s="4">
        <f t="shared" si="13"/>
        <v>3792.2685185185182</v>
      </c>
      <c r="J94" s="5">
        <f t="shared" si="14"/>
        <v>8.9622903630927897E-2</v>
      </c>
      <c r="K94" s="7">
        <v>53.485267030614807</v>
      </c>
      <c r="L94" s="7">
        <v>20.904420731671781</v>
      </c>
      <c r="M94" s="3">
        <v>31439.9999999996</v>
      </c>
      <c r="N94" s="3">
        <v>9099.9999999989996</v>
      </c>
      <c r="O94" s="3">
        <f t="shared" si="15"/>
        <v>40539.999999998603</v>
      </c>
      <c r="P94" s="6">
        <f t="shared" si="18"/>
        <v>8.7355657556930102E-2</v>
      </c>
      <c r="Q94" s="6">
        <f t="shared" si="19"/>
        <v>2.528423930559754E-2</v>
      </c>
      <c r="R94" s="6">
        <f t="shared" si="16"/>
        <v>0.11263989686252765</v>
      </c>
      <c r="S94" s="6">
        <f t="shared" si="17"/>
        <v>0.12306739564011925</v>
      </c>
    </row>
    <row r="95" spans="1:19" x14ac:dyDescent="0.35">
      <c r="A95" s="2">
        <v>45140</v>
      </c>
      <c r="B95" s="3">
        <v>329538</v>
      </c>
      <c r="C95" s="3">
        <v>27981</v>
      </c>
      <c r="D95" s="3">
        <f t="shared" si="10"/>
        <v>357519</v>
      </c>
      <c r="E95" s="4">
        <f t="shared" si="11"/>
        <v>3814.0972222222222</v>
      </c>
      <c r="F95" s="4">
        <f t="shared" si="11"/>
        <v>323.85416666666663</v>
      </c>
      <c r="G95" s="4">
        <f t="shared" si="12"/>
        <v>4137.9513888888887</v>
      </c>
      <c r="H95" s="3">
        <v>334838</v>
      </c>
      <c r="I95" s="4">
        <f t="shared" si="13"/>
        <v>3875.4398148148148</v>
      </c>
      <c r="J95" s="5">
        <f t="shared" si="14"/>
        <v>6.3439985007789801E-2</v>
      </c>
      <c r="K95" s="7">
        <v>53.654919418669301</v>
      </c>
      <c r="L95" s="7">
        <v>20.379056664521979</v>
      </c>
      <c r="M95" s="3">
        <v>36359.999999998763</v>
      </c>
      <c r="N95" s="3">
        <v>9000.0000000009095</v>
      </c>
      <c r="O95" s="3">
        <f t="shared" si="15"/>
        <v>45359.999999999673</v>
      </c>
      <c r="P95" s="6">
        <f t="shared" si="18"/>
        <v>0.10170088862409764</v>
      </c>
      <c r="Q95" s="6">
        <f t="shared" si="19"/>
        <v>2.5173487283195885E-2</v>
      </c>
      <c r="R95" s="6">
        <f t="shared" si="16"/>
        <v>0.12687437590729353</v>
      </c>
      <c r="S95" s="6">
        <f t="shared" si="17"/>
        <v>0.13764725160679397</v>
      </c>
    </row>
    <row r="96" spans="1:19" x14ac:dyDescent="0.35">
      <c r="A96" s="2">
        <v>45141</v>
      </c>
      <c r="B96" s="3">
        <v>329212</v>
      </c>
      <c r="C96" s="3">
        <v>33540</v>
      </c>
      <c r="D96" s="3">
        <f t="shared" si="10"/>
        <v>362752</v>
      </c>
      <c r="E96" s="4">
        <f t="shared" si="11"/>
        <v>3810.3240740740739</v>
      </c>
      <c r="F96" s="4">
        <f t="shared" si="11"/>
        <v>388.1944444444444</v>
      </c>
      <c r="G96" s="4">
        <f t="shared" si="12"/>
        <v>4198.5185185185182</v>
      </c>
      <c r="H96" s="3">
        <v>334622</v>
      </c>
      <c r="I96" s="4">
        <f t="shared" si="13"/>
        <v>3872.9398148148148</v>
      </c>
      <c r="J96" s="5">
        <f t="shared" si="14"/>
        <v>7.7546092095977417E-2</v>
      </c>
      <c r="K96" s="7">
        <v>54.282776642579158</v>
      </c>
      <c r="L96" s="7">
        <v>20.412800227617989</v>
      </c>
      <c r="M96" s="3">
        <v>37400.000000002365</v>
      </c>
      <c r="N96" s="3">
        <v>10040.000000000418</v>
      </c>
      <c r="O96" s="3">
        <f t="shared" si="15"/>
        <v>47440.000000002779</v>
      </c>
      <c r="P96" s="6">
        <f t="shared" si="18"/>
        <v>0.10310074100212367</v>
      </c>
      <c r="Q96" s="6">
        <f t="shared" si="19"/>
        <v>2.7677311220890354E-2</v>
      </c>
      <c r="R96" s="6">
        <f t="shared" si="16"/>
        <v>0.130778052223014</v>
      </c>
      <c r="S96" s="6">
        <f t="shared" si="17"/>
        <v>0.14410167308604419</v>
      </c>
    </row>
    <row r="97" spans="1:19" x14ac:dyDescent="0.35">
      <c r="A97" s="2">
        <v>45142</v>
      </c>
      <c r="B97" s="3">
        <v>328630</v>
      </c>
      <c r="C97" s="3">
        <v>32699</v>
      </c>
      <c r="D97" s="3">
        <f t="shared" si="10"/>
        <v>361329</v>
      </c>
      <c r="E97" s="4">
        <f t="shared" si="11"/>
        <v>3803.5879629629626</v>
      </c>
      <c r="F97" s="4">
        <f t="shared" si="11"/>
        <v>378.4606481481481</v>
      </c>
      <c r="G97" s="4">
        <f t="shared" si="12"/>
        <v>4182.0486111111104</v>
      </c>
      <c r="H97" s="3">
        <v>335650</v>
      </c>
      <c r="I97" s="4">
        <f t="shared" si="13"/>
        <v>3884.8379629629626</v>
      </c>
      <c r="J97" s="5">
        <f t="shared" si="14"/>
        <v>7.1068195467288819E-2</v>
      </c>
      <c r="K97" s="7">
        <v>48.51242363022903</v>
      </c>
      <c r="L97" s="7">
        <v>17.610356547874705</v>
      </c>
      <c r="M97" s="3">
        <v>36959.999999997308</v>
      </c>
      <c r="N97" s="3">
        <v>9479.9999999995634</v>
      </c>
      <c r="O97" s="3">
        <f t="shared" si="15"/>
        <v>46439.999999996871</v>
      </c>
      <c r="P97" s="6">
        <f t="shared" si="18"/>
        <v>0.1022890495919157</v>
      </c>
      <c r="Q97" s="6">
        <f t="shared" si="19"/>
        <v>2.6236477005719339E-2</v>
      </c>
      <c r="R97" s="6">
        <f t="shared" si="16"/>
        <v>0.12852552659763505</v>
      </c>
      <c r="S97" s="6">
        <f t="shared" si="17"/>
        <v>0.14131393968900244</v>
      </c>
    </row>
    <row r="98" spans="1:19" x14ac:dyDescent="0.35">
      <c r="A98" s="2">
        <v>45143</v>
      </c>
      <c r="B98" s="3">
        <v>329408</v>
      </c>
      <c r="C98" s="3">
        <v>30044</v>
      </c>
      <c r="D98" s="3">
        <f t="shared" si="10"/>
        <v>359452</v>
      </c>
      <c r="E98" s="4">
        <f t="shared" si="11"/>
        <v>3812.5925925925922</v>
      </c>
      <c r="F98" s="4">
        <f t="shared" si="11"/>
        <v>347.73148148148147</v>
      </c>
      <c r="G98" s="4">
        <f t="shared" si="12"/>
        <v>4160.3240740740739</v>
      </c>
      <c r="H98" s="3">
        <v>336782</v>
      </c>
      <c r="I98" s="4">
        <f t="shared" si="13"/>
        <v>3897.9398148148148</v>
      </c>
      <c r="J98" s="5">
        <f t="shared" si="14"/>
        <v>6.3068226077473491E-2</v>
      </c>
      <c r="K98" s="7">
        <v>51.164165184080076</v>
      </c>
      <c r="L98" s="7">
        <v>19.151258901405335</v>
      </c>
      <c r="M98" s="3">
        <v>37160.000000004402</v>
      </c>
      <c r="N98" s="3">
        <v>8519.9999999990723</v>
      </c>
      <c r="O98" s="3">
        <f t="shared" si="15"/>
        <v>45680.000000003478</v>
      </c>
      <c r="P98" s="6">
        <f t="shared" si="18"/>
        <v>0.10337958892982763</v>
      </c>
      <c r="Q98" s="6">
        <f t="shared" si="19"/>
        <v>2.370274751566015E-2</v>
      </c>
      <c r="R98" s="6">
        <f t="shared" si="16"/>
        <v>0.1270823364454878</v>
      </c>
      <c r="S98" s="6">
        <f t="shared" si="17"/>
        <v>0.13867301340587807</v>
      </c>
    </row>
    <row r="99" spans="1:19" x14ac:dyDescent="0.35">
      <c r="A99" s="2">
        <v>45144</v>
      </c>
      <c r="B99" s="3">
        <v>328786</v>
      </c>
      <c r="C99" s="3">
        <v>32617</v>
      </c>
      <c r="D99" s="3">
        <f t="shared" si="10"/>
        <v>361403</v>
      </c>
      <c r="E99" s="4">
        <f t="shared" si="11"/>
        <v>3805.3935185185182</v>
      </c>
      <c r="F99" s="4">
        <f t="shared" si="11"/>
        <v>377.51157407407408</v>
      </c>
      <c r="G99" s="4">
        <f t="shared" si="12"/>
        <v>4182.9050925925922</v>
      </c>
      <c r="H99" s="3">
        <v>333676</v>
      </c>
      <c r="I99" s="4">
        <f t="shared" si="13"/>
        <v>3861.9907407407404</v>
      </c>
      <c r="J99" s="5">
        <f t="shared" si="14"/>
        <v>7.6720447810339154E-2</v>
      </c>
      <c r="K99" s="7">
        <v>50.38282005027061</v>
      </c>
      <c r="L99" s="7">
        <v>19.047872636995127</v>
      </c>
      <c r="M99" s="3">
        <v>35919.999999998254</v>
      </c>
      <c r="N99" s="3">
        <v>8260.000000000673</v>
      </c>
      <c r="O99" s="3">
        <f t="shared" si="15"/>
        <v>44179.999999998923</v>
      </c>
      <c r="P99" s="6">
        <f t="shared" si="18"/>
        <v>9.9390431180699262E-2</v>
      </c>
      <c r="Q99" s="6">
        <f t="shared" si="19"/>
        <v>2.2855371980865329E-2</v>
      </c>
      <c r="R99" s="6">
        <f t="shared" si="16"/>
        <v>0.12224580316156458</v>
      </c>
      <c r="S99" s="6">
        <f t="shared" si="17"/>
        <v>0.13437311807680047</v>
      </c>
    </row>
    <row r="100" spans="1:19" x14ac:dyDescent="0.35">
      <c r="A100" s="8">
        <v>45145</v>
      </c>
      <c r="B100" s="3">
        <v>328636</v>
      </c>
      <c r="C100" s="3">
        <v>33727</v>
      </c>
      <c r="D100" s="3">
        <f t="shared" si="10"/>
        <v>362363</v>
      </c>
      <c r="E100" s="4">
        <f t="shared" si="11"/>
        <v>3803.6574074074069</v>
      </c>
      <c r="F100" s="4">
        <f t="shared" si="11"/>
        <v>390.35879629629625</v>
      </c>
      <c r="G100" s="4">
        <f t="shared" si="12"/>
        <v>4194.0162037037035</v>
      </c>
      <c r="H100" s="3">
        <v>333786</v>
      </c>
      <c r="I100" s="4">
        <f t="shared" si="13"/>
        <v>3863.2638888888887</v>
      </c>
      <c r="J100" s="5">
        <f t="shared" si="14"/>
        <v>7.8862908188749956E-2</v>
      </c>
      <c r="K100" s="7">
        <v>50.255225070468938</v>
      </c>
      <c r="L100" s="7">
        <v>17.310139617483948</v>
      </c>
      <c r="M100" s="3">
        <v>37399.999999998727</v>
      </c>
      <c r="N100" s="3">
        <v>9860.0000000005821</v>
      </c>
      <c r="O100" s="3">
        <f t="shared" si="15"/>
        <v>47259.999999999309</v>
      </c>
      <c r="P100" s="6">
        <f t="shared" si="18"/>
        <v>0.10321142059205472</v>
      </c>
      <c r="Q100" s="6">
        <f t="shared" si="19"/>
        <v>2.7210283610635141E-2</v>
      </c>
      <c r="R100" s="6">
        <f t="shared" si="16"/>
        <v>0.13042170420268986</v>
      </c>
      <c r="S100" s="6">
        <f t="shared" si="17"/>
        <v>0.14380652150098988</v>
      </c>
    </row>
    <row r="101" spans="1:19" x14ac:dyDescent="0.35">
      <c r="A101" s="2">
        <v>45146</v>
      </c>
      <c r="B101" s="3">
        <v>328291</v>
      </c>
      <c r="C101" s="3">
        <v>34470</v>
      </c>
      <c r="D101" s="3">
        <f t="shared" si="10"/>
        <v>362761</v>
      </c>
      <c r="E101" s="4">
        <f t="shared" si="11"/>
        <v>3799.6643518518517</v>
      </c>
      <c r="F101" s="4">
        <f t="shared" si="11"/>
        <v>398.95833333333331</v>
      </c>
      <c r="G101" s="4">
        <f t="shared" si="12"/>
        <v>4198.6226851851852</v>
      </c>
      <c r="H101" s="3">
        <v>339624</v>
      </c>
      <c r="I101" s="4">
        <f t="shared" si="13"/>
        <v>3930.833333333333</v>
      </c>
      <c r="J101" s="5">
        <f t="shared" si="14"/>
        <v>6.3780285091285999E-2</v>
      </c>
      <c r="K101" s="7">
        <v>51.962243638532655</v>
      </c>
      <c r="L101" s="7">
        <v>18.992172434627047</v>
      </c>
      <c r="M101" s="3">
        <v>36799.999999999272</v>
      </c>
      <c r="N101" s="3">
        <v>9600.0000000003638</v>
      </c>
      <c r="O101" s="3">
        <f t="shared" si="15"/>
        <v>46399.999999999636</v>
      </c>
      <c r="P101" s="6">
        <f t="shared" si="18"/>
        <v>0.10144420155418932</v>
      </c>
      <c r="Q101" s="6">
        <f t="shared" si="19"/>
        <v>2.6463704753268306E-2</v>
      </c>
      <c r="R101" s="6">
        <f t="shared" si="16"/>
        <v>0.12790790630745763</v>
      </c>
      <c r="S101" s="6">
        <f t="shared" si="17"/>
        <v>0.14133802023204911</v>
      </c>
    </row>
    <row r="102" spans="1:19" x14ac:dyDescent="0.35">
      <c r="A102" s="2">
        <v>45147</v>
      </c>
      <c r="B102" s="3">
        <v>330293</v>
      </c>
      <c r="C102" s="3">
        <v>7546</v>
      </c>
      <c r="D102" s="3">
        <f t="shared" si="10"/>
        <v>337839</v>
      </c>
      <c r="E102" s="4">
        <f t="shared" si="11"/>
        <v>3822.8356481481478</v>
      </c>
      <c r="F102" s="4">
        <f t="shared" si="11"/>
        <v>87.337962962962962</v>
      </c>
      <c r="G102" s="4">
        <f t="shared" si="12"/>
        <v>3910.1736111111109</v>
      </c>
      <c r="H102" s="3">
        <v>309052</v>
      </c>
      <c r="I102" s="4">
        <f t="shared" si="13"/>
        <v>3576.9907407407404</v>
      </c>
      <c r="J102" s="5">
        <f t="shared" si="14"/>
        <v>8.5209226880259531E-2</v>
      </c>
      <c r="K102" s="7">
        <v>52.99793233311847</v>
      </c>
      <c r="L102" s="7">
        <v>20.342932624026133</v>
      </c>
      <c r="M102" s="3">
        <v>27000.000000003638</v>
      </c>
      <c r="N102" s="3">
        <v>6939.9999999995998</v>
      </c>
      <c r="O102" s="3">
        <f t="shared" si="15"/>
        <v>33940.000000003238</v>
      </c>
      <c r="P102" s="6">
        <f t="shared" si="18"/>
        <v>7.9919725076156509E-2</v>
      </c>
      <c r="Q102" s="6">
        <f t="shared" si="19"/>
        <v>2.0542329334385906E-2</v>
      </c>
      <c r="R102" s="6">
        <f t="shared" si="16"/>
        <v>0.10046205441054241</v>
      </c>
      <c r="S102" s="6">
        <f t="shared" si="17"/>
        <v>0.10275724886692493</v>
      </c>
    </row>
    <row r="103" spans="1:19" x14ac:dyDescent="0.35">
      <c r="A103" s="2">
        <v>45148</v>
      </c>
      <c r="B103" s="3">
        <v>330213</v>
      </c>
      <c r="C103" s="3">
        <v>14380</v>
      </c>
      <c r="D103" s="3">
        <f t="shared" si="10"/>
        <v>344593</v>
      </c>
      <c r="E103" s="4">
        <f t="shared" si="11"/>
        <v>3821.9097222222222</v>
      </c>
      <c r="F103" s="4">
        <f t="shared" si="11"/>
        <v>166.43518518518516</v>
      </c>
      <c r="G103" s="4">
        <f t="shared" si="12"/>
        <v>3988.3449074074074</v>
      </c>
      <c r="H103" s="3">
        <v>319520</v>
      </c>
      <c r="I103" s="4">
        <f t="shared" si="13"/>
        <v>3698.1481481481478</v>
      </c>
      <c r="J103" s="5">
        <f t="shared" si="14"/>
        <v>7.2761199443981739E-2</v>
      </c>
      <c r="K103" s="7">
        <v>45.919876021987875</v>
      </c>
      <c r="L103" s="7">
        <v>15.382934356434054</v>
      </c>
      <c r="M103" s="3">
        <v>27439.99999999869</v>
      </c>
      <c r="N103" s="3">
        <v>8079.9999999994725</v>
      </c>
      <c r="O103" s="3">
        <f t="shared" si="15"/>
        <v>35519.999999998166</v>
      </c>
      <c r="P103" s="6">
        <f t="shared" si="18"/>
        <v>7.96301724062842E-2</v>
      </c>
      <c r="Q103" s="6">
        <f t="shared" si="19"/>
        <v>2.3447951641500184E-2</v>
      </c>
      <c r="R103" s="6">
        <f t="shared" si="16"/>
        <v>0.10307812404778439</v>
      </c>
      <c r="S103" s="6">
        <f t="shared" si="17"/>
        <v>0.10756693406982211</v>
      </c>
    </row>
    <row r="104" spans="1:19" x14ac:dyDescent="0.35">
      <c r="A104" s="2">
        <v>45149</v>
      </c>
      <c r="B104" s="3">
        <v>329591</v>
      </c>
      <c r="C104" s="3">
        <v>18041</v>
      </c>
      <c r="D104" s="3">
        <f t="shared" si="10"/>
        <v>347632</v>
      </c>
      <c r="E104" s="4">
        <f t="shared" si="11"/>
        <v>3814.7106481481478</v>
      </c>
      <c r="F104" s="4">
        <f t="shared" si="11"/>
        <v>208.80787037037035</v>
      </c>
      <c r="G104" s="4">
        <f t="shared" si="12"/>
        <v>4023.5185185185182</v>
      </c>
      <c r="H104" s="3">
        <v>319468</v>
      </c>
      <c r="I104" s="4">
        <f t="shared" si="13"/>
        <v>3697.5462962962961</v>
      </c>
      <c r="J104" s="5">
        <f t="shared" si="14"/>
        <v>8.1016707322686066E-2</v>
      </c>
      <c r="K104" s="7">
        <v>48.963495361596344</v>
      </c>
      <c r="L104" s="7">
        <v>18.662487399153299</v>
      </c>
      <c r="M104" s="3">
        <v>26439.99999999869</v>
      </c>
      <c r="N104" s="3">
        <v>8220.0000000011642</v>
      </c>
      <c r="O104" s="3">
        <f t="shared" si="15"/>
        <v>34659.999999999854</v>
      </c>
      <c r="P104" s="6">
        <f t="shared" si="18"/>
        <v>7.6057440051544994E-2</v>
      </c>
      <c r="Q104" s="6">
        <f t="shared" si="19"/>
        <v>2.3645694297421308E-2</v>
      </c>
      <c r="R104" s="6">
        <f t="shared" si="16"/>
        <v>9.9703134348966299E-2</v>
      </c>
      <c r="S104" s="6">
        <f t="shared" si="17"/>
        <v>0.1051606384883078</v>
      </c>
    </row>
    <row r="105" spans="1:19" x14ac:dyDescent="0.35">
      <c r="A105" s="2">
        <v>45150</v>
      </c>
      <c r="B105" s="3">
        <v>329136</v>
      </c>
      <c r="C105" s="3">
        <v>10331</v>
      </c>
      <c r="D105" s="3">
        <f t="shared" si="10"/>
        <v>339467</v>
      </c>
      <c r="E105" s="4">
        <f t="shared" si="11"/>
        <v>3809.4444444444443</v>
      </c>
      <c r="F105" s="4">
        <f t="shared" si="11"/>
        <v>119.57175925925925</v>
      </c>
      <c r="G105" s="4">
        <f t="shared" si="12"/>
        <v>3929.0162037037035</v>
      </c>
      <c r="H105" s="3">
        <v>316548</v>
      </c>
      <c r="I105" s="4">
        <f t="shared" si="13"/>
        <v>3663.7499999999995</v>
      </c>
      <c r="J105" s="5">
        <f t="shared" si="14"/>
        <v>6.7514662691808044E-2</v>
      </c>
      <c r="K105" s="7">
        <v>48.55173947377628</v>
      </c>
      <c r="L105" s="7">
        <v>17.343647326498395</v>
      </c>
      <c r="M105" s="3">
        <v>26439.9999999996</v>
      </c>
      <c r="N105" s="3">
        <v>7099.9999999985448</v>
      </c>
      <c r="O105" s="3">
        <f t="shared" si="15"/>
        <v>33539.999999998145</v>
      </c>
      <c r="P105" s="6">
        <f t="shared" si="18"/>
        <v>7.7886804902979084E-2</v>
      </c>
      <c r="Q105" s="6">
        <f t="shared" si="19"/>
        <v>2.0915140499661367E-2</v>
      </c>
      <c r="R105" s="6">
        <f t="shared" si="16"/>
        <v>9.8801945402640451E-2</v>
      </c>
      <c r="S105" s="6">
        <f t="shared" si="17"/>
        <v>0.10190316464925789</v>
      </c>
    </row>
    <row r="106" spans="1:19" x14ac:dyDescent="0.35">
      <c r="A106" s="2">
        <v>45151</v>
      </c>
      <c r="B106" s="3">
        <v>328444</v>
      </c>
      <c r="C106" s="3">
        <v>14668</v>
      </c>
      <c r="D106" s="3">
        <f t="shared" si="10"/>
        <v>343112</v>
      </c>
      <c r="E106" s="4">
        <f t="shared" si="11"/>
        <v>3801.4351851851848</v>
      </c>
      <c r="F106" s="4">
        <f t="shared" si="11"/>
        <v>169.7685185185185</v>
      </c>
      <c r="G106" s="4">
        <f t="shared" si="12"/>
        <v>3971.2037037037035</v>
      </c>
      <c r="H106" s="3">
        <v>314838</v>
      </c>
      <c r="I106" s="4">
        <f t="shared" si="13"/>
        <v>3643.958333333333</v>
      </c>
      <c r="J106" s="5">
        <f t="shared" si="14"/>
        <v>8.2404579262748023E-2</v>
      </c>
      <c r="K106" s="7">
        <v>49.520976298769178</v>
      </c>
      <c r="L106" s="7">
        <v>18.842340751192872</v>
      </c>
      <c r="M106" s="3">
        <v>26560.0000000004</v>
      </c>
      <c r="N106" s="3">
        <v>7860.0000000014916</v>
      </c>
      <c r="O106" s="3">
        <f t="shared" si="15"/>
        <v>34420.000000001892</v>
      </c>
      <c r="P106" s="6">
        <f t="shared" si="18"/>
        <v>7.7409125883094732E-2</v>
      </c>
      <c r="Q106" s="6">
        <f t="shared" si="19"/>
        <v>2.29079717410102E-2</v>
      </c>
      <c r="R106" s="6">
        <f t="shared" si="16"/>
        <v>0.10031709762410493</v>
      </c>
      <c r="S106" s="6">
        <f t="shared" si="17"/>
        <v>0.10479716481348994</v>
      </c>
    </row>
    <row r="107" spans="1:19" x14ac:dyDescent="0.35">
      <c r="A107" s="8">
        <v>45152</v>
      </c>
      <c r="B107" s="3">
        <v>330511</v>
      </c>
      <c r="C107" s="3">
        <v>14073</v>
      </c>
      <c r="D107" s="3">
        <f t="shared" si="10"/>
        <v>344584</v>
      </c>
      <c r="E107" s="4">
        <f t="shared" si="11"/>
        <v>3825.3587962962961</v>
      </c>
      <c r="F107" s="4">
        <f t="shared" si="11"/>
        <v>162.88194444444443</v>
      </c>
      <c r="G107" s="4">
        <f t="shared" si="12"/>
        <v>3988.2407407407404</v>
      </c>
      <c r="H107" s="3">
        <v>316944</v>
      </c>
      <c r="I107" s="4">
        <f t="shared" si="13"/>
        <v>3668.333333333333</v>
      </c>
      <c r="J107" s="5">
        <f t="shared" si="14"/>
        <v>8.0212662224595457E-2</v>
      </c>
      <c r="K107" s="7">
        <v>50.345616696597872</v>
      </c>
      <c r="L107" s="7">
        <v>20.569033130094514</v>
      </c>
      <c r="M107" s="3">
        <v>27040.000000001783</v>
      </c>
      <c r="N107" s="3">
        <v>8819.9999999983447</v>
      </c>
      <c r="O107" s="3">
        <f t="shared" si="15"/>
        <v>35860.000000000131</v>
      </c>
      <c r="P107" s="6">
        <f t="shared" si="18"/>
        <v>7.847143221972519E-2</v>
      </c>
      <c r="Q107" s="6">
        <f t="shared" si="19"/>
        <v>2.5596081071664223E-2</v>
      </c>
      <c r="R107" s="6">
        <f t="shared" si="16"/>
        <v>0.10406751329138941</v>
      </c>
      <c r="S107" s="6">
        <f t="shared" si="17"/>
        <v>0.10849865813845873</v>
      </c>
    </row>
    <row r="108" spans="1:19" x14ac:dyDescent="0.35">
      <c r="A108" s="2">
        <v>45153</v>
      </c>
      <c r="B108" s="3">
        <v>331342</v>
      </c>
      <c r="C108" s="3">
        <v>20850</v>
      </c>
      <c r="D108" s="3">
        <f t="shared" si="10"/>
        <v>352192</v>
      </c>
      <c r="E108" s="4">
        <f t="shared" si="11"/>
        <v>3834.9768518518517</v>
      </c>
      <c r="F108" s="4">
        <f t="shared" si="11"/>
        <v>241.31944444444443</v>
      </c>
      <c r="G108" s="4">
        <f t="shared" si="12"/>
        <v>4076.2962962962961</v>
      </c>
      <c r="H108" s="3">
        <v>325686</v>
      </c>
      <c r="I108" s="4">
        <f t="shared" si="13"/>
        <v>3769.5138888888887</v>
      </c>
      <c r="J108" s="5">
        <f t="shared" si="14"/>
        <v>7.5260085407959296E-2</v>
      </c>
      <c r="K108" s="7">
        <v>49.464109824056358</v>
      </c>
      <c r="L108" s="7">
        <v>17.520708657420005</v>
      </c>
      <c r="M108" s="3">
        <v>27479.999999999563</v>
      </c>
      <c r="N108" s="3">
        <v>10159.999999999854</v>
      </c>
      <c r="O108" s="3">
        <f t="shared" si="15"/>
        <v>37639.999999999418</v>
      </c>
      <c r="P108" s="6">
        <f t="shared" si="18"/>
        <v>7.8025622387787236E-2</v>
      </c>
      <c r="Q108" s="6">
        <f t="shared" si="19"/>
        <v>2.8847901144829678E-2</v>
      </c>
      <c r="R108" s="6">
        <f t="shared" si="16"/>
        <v>0.10687352353261692</v>
      </c>
      <c r="S108" s="6">
        <f t="shared" si="17"/>
        <v>0.11359863826499332</v>
      </c>
    </row>
    <row r="109" spans="1:19" x14ac:dyDescent="0.35">
      <c r="A109" s="2">
        <v>45154</v>
      </c>
      <c r="B109" s="3">
        <v>330772</v>
      </c>
      <c r="C109" s="3">
        <v>24666</v>
      </c>
      <c r="D109" s="3">
        <f t="shared" si="10"/>
        <v>355438</v>
      </c>
      <c r="E109" s="4">
        <f t="shared" si="11"/>
        <v>3828.3796296296296</v>
      </c>
      <c r="F109" s="4">
        <f t="shared" si="11"/>
        <v>285.48611111111109</v>
      </c>
      <c r="G109" s="4">
        <f t="shared" si="12"/>
        <v>4113.8657407407409</v>
      </c>
      <c r="H109" s="3">
        <v>327976</v>
      </c>
      <c r="I109" s="4">
        <f t="shared" si="13"/>
        <v>3796.0185185185182</v>
      </c>
      <c r="J109" s="5">
        <f t="shared" si="14"/>
        <v>7.7262419887575332E-2</v>
      </c>
      <c r="K109" s="7">
        <v>51.109353011244863</v>
      </c>
      <c r="L109" s="7">
        <v>19.144554649786606</v>
      </c>
      <c r="M109" s="3">
        <v>28039.999999997235</v>
      </c>
      <c r="N109" s="3">
        <v>9880.0000000005639</v>
      </c>
      <c r="O109" s="3">
        <f t="shared" si="15"/>
        <v>37919.999999997803</v>
      </c>
      <c r="P109" s="6">
        <f t="shared" si="18"/>
        <v>7.8888582537593718E-2</v>
      </c>
      <c r="Q109" s="6">
        <f t="shared" si="19"/>
        <v>2.779669028072565E-2</v>
      </c>
      <c r="R109" s="6">
        <f t="shared" si="16"/>
        <v>0.10668527281831938</v>
      </c>
      <c r="S109" s="6">
        <f t="shared" si="17"/>
        <v>0.11464090068082487</v>
      </c>
    </row>
    <row r="110" spans="1:19" x14ac:dyDescent="0.35">
      <c r="A110" s="2">
        <v>45155</v>
      </c>
      <c r="B110" s="3">
        <v>330487</v>
      </c>
      <c r="C110" s="3">
        <v>22435</v>
      </c>
      <c r="D110" s="3">
        <f t="shared" si="10"/>
        <v>352922</v>
      </c>
      <c r="E110" s="4">
        <f t="shared" si="11"/>
        <v>3825.0810185185182</v>
      </c>
      <c r="F110" s="4">
        <f t="shared" si="11"/>
        <v>259.66435185185185</v>
      </c>
      <c r="G110" s="4">
        <f t="shared" si="12"/>
        <v>4084.74537037037</v>
      </c>
      <c r="H110" s="3">
        <v>320020</v>
      </c>
      <c r="I110" s="4">
        <f t="shared" si="13"/>
        <v>3703.9351851851848</v>
      </c>
      <c r="J110" s="5">
        <f t="shared" si="14"/>
        <v>9.3227398688662089E-2</v>
      </c>
      <c r="K110" s="7">
        <v>55.801176210880428</v>
      </c>
      <c r="L110" s="7">
        <v>20.403892958490381</v>
      </c>
      <c r="M110" s="3">
        <v>27360.000000003311</v>
      </c>
      <c r="N110" s="3">
        <v>6779.9999999997453</v>
      </c>
      <c r="O110" s="3">
        <f t="shared" si="15"/>
        <v>34140.000000003056</v>
      </c>
      <c r="P110" s="6">
        <f t="shared" si="18"/>
        <v>7.7524212148869467E-2</v>
      </c>
      <c r="Q110" s="6">
        <f t="shared" si="19"/>
        <v>1.9211043800045749E-2</v>
      </c>
      <c r="R110" s="6">
        <f t="shared" si="16"/>
        <v>9.6735255948915216E-2</v>
      </c>
      <c r="S110" s="6">
        <f t="shared" si="17"/>
        <v>0.10330209660290134</v>
      </c>
    </row>
    <row r="111" spans="1:19" x14ac:dyDescent="0.35">
      <c r="A111" s="2">
        <v>45156</v>
      </c>
      <c r="B111" s="3">
        <v>332482</v>
      </c>
      <c r="C111" s="3">
        <v>22777</v>
      </c>
      <c r="D111" s="3">
        <f t="shared" si="10"/>
        <v>355259</v>
      </c>
      <c r="E111" s="4">
        <f t="shared" si="11"/>
        <v>3848.1712962962961</v>
      </c>
      <c r="F111" s="4">
        <f t="shared" si="11"/>
        <v>263.62268518518516</v>
      </c>
      <c r="G111" s="4">
        <f t="shared" si="12"/>
        <v>4111.7939814814808</v>
      </c>
      <c r="H111" s="3">
        <v>325434</v>
      </c>
      <c r="I111" s="4">
        <f t="shared" si="13"/>
        <v>3766.5972222222222</v>
      </c>
      <c r="J111" s="5">
        <f t="shared" si="14"/>
        <v>8.3952834410950888E-2</v>
      </c>
      <c r="K111" s="7">
        <v>54.844791430479582</v>
      </c>
      <c r="L111" s="7">
        <v>20.699922475716999</v>
      </c>
      <c r="M111" s="3">
        <v>28079.999999997199</v>
      </c>
      <c r="N111" s="3">
        <v>7179.9999999998363</v>
      </c>
      <c r="O111" s="3">
        <f t="shared" si="15"/>
        <v>35259.999999997031</v>
      </c>
      <c r="P111" s="6">
        <f t="shared" si="18"/>
        <v>7.9040925071559617E-2</v>
      </c>
      <c r="Q111" s="6">
        <f t="shared" si="19"/>
        <v>2.0210606909324847E-2</v>
      </c>
      <c r="R111" s="6">
        <f t="shared" si="16"/>
        <v>9.9251531980884461E-2</v>
      </c>
      <c r="S111" s="6">
        <f t="shared" si="17"/>
        <v>0.10605085388080267</v>
      </c>
    </row>
    <row r="112" spans="1:19" x14ac:dyDescent="0.35">
      <c r="A112" s="2">
        <v>45157</v>
      </c>
      <c r="B112" s="3">
        <v>332219</v>
      </c>
      <c r="C112" s="3">
        <v>9935</v>
      </c>
      <c r="D112" s="3">
        <f t="shared" si="10"/>
        <v>342154</v>
      </c>
      <c r="E112" s="4">
        <f t="shared" si="11"/>
        <v>3845.1273148148148</v>
      </c>
      <c r="F112" s="4">
        <f t="shared" si="11"/>
        <v>114.98842592592592</v>
      </c>
      <c r="G112" s="4">
        <f t="shared" si="12"/>
        <v>3960.1157407407409</v>
      </c>
      <c r="H112" s="3">
        <v>317472</v>
      </c>
      <c r="I112" s="4">
        <f t="shared" si="13"/>
        <v>3674.4444444444443</v>
      </c>
      <c r="J112" s="5">
        <f t="shared" si="14"/>
        <v>7.2137107852019849E-2</v>
      </c>
      <c r="K112" s="7">
        <v>53.939602840987256</v>
      </c>
      <c r="L112" s="7">
        <v>18.746187010688619</v>
      </c>
      <c r="M112" s="3">
        <v>26680.00000000211</v>
      </c>
      <c r="N112" s="3">
        <v>5900.0000000010004</v>
      </c>
      <c r="O112" s="3">
        <f t="shared" si="15"/>
        <v>32580.00000000311</v>
      </c>
      <c r="P112" s="6">
        <f t="shared" si="18"/>
        <v>7.7976583643628625E-2</v>
      </c>
      <c r="Q112" s="6">
        <f t="shared" si="19"/>
        <v>1.724369728251314E-2</v>
      </c>
      <c r="R112" s="6">
        <f t="shared" si="16"/>
        <v>9.5220280926141765E-2</v>
      </c>
      <c r="S112" s="6">
        <f t="shared" si="17"/>
        <v>9.8067840791776245E-2</v>
      </c>
    </row>
    <row r="113" spans="1:19" x14ac:dyDescent="0.35">
      <c r="A113" s="2">
        <v>45158</v>
      </c>
      <c r="B113" s="3">
        <v>331456</v>
      </c>
      <c r="C113" s="3">
        <v>10165</v>
      </c>
      <c r="D113" s="3">
        <f t="shared" si="10"/>
        <v>341621</v>
      </c>
      <c r="E113" s="4">
        <f t="shared" si="11"/>
        <v>3836.2962962962961</v>
      </c>
      <c r="F113" s="4">
        <f t="shared" si="11"/>
        <v>117.65046296296296</v>
      </c>
      <c r="G113" s="4">
        <f t="shared" si="12"/>
        <v>3953.9467592592591</v>
      </c>
      <c r="H113" s="3">
        <v>314676</v>
      </c>
      <c r="I113" s="4">
        <f t="shared" si="13"/>
        <v>3642.083333333333</v>
      </c>
      <c r="J113" s="5">
        <f t="shared" si="14"/>
        <v>7.8873956811788506E-2</v>
      </c>
      <c r="K113" s="7">
        <v>49.434984830633262</v>
      </c>
      <c r="L113" s="7">
        <v>18.725720669003884</v>
      </c>
      <c r="M113" s="3">
        <v>26879.99999999829</v>
      </c>
      <c r="N113" s="3">
        <v>5799.9999999997272</v>
      </c>
      <c r="O113" s="3">
        <f t="shared" si="15"/>
        <v>32679.999999998017</v>
      </c>
      <c r="P113" s="6">
        <f t="shared" si="18"/>
        <v>7.8683687478223796E-2</v>
      </c>
      <c r="Q113" s="6">
        <f t="shared" si="19"/>
        <v>1.6977878994557497E-2</v>
      </c>
      <c r="R113" s="6">
        <f t="shared" si="16"/>
        <v>9.566156647278129E-2</v>
      </c>
      <c r="S113" s="6">
        <f t="shared" si="17"/>
        <v>9.8595288665759603E-2</v>
      </c>
    </row>
    <row r="114" spans="1:19" x14ac:dyDescent="0.35">
      <c r="A114" s="8">
        <v>45159</v>
      </c>
      <c r="B114" s="3">
        <v>331349</v>
      </c>
      <c r="C114" s="3">
        <v>15271</v>
      </c>
      <c r="D114" s="3">
        <f t="shared" si="10"/>
        <v>346620</v>
      </c>
      <c r="E114" s="4">
        <f t="shared" si="11"/>
        <v>3835.05787037037</v>
      </c>
      <c r="F114" s="4">
        <f t="shared" si="11"/>
        <v>176.74768518518516</v>
      </c>
      <c r="G114" s="4">
        <f t="shared" si="12"/>
        <v>4011.8055555555552</v>
      </c>
      <c r="H114" s="3">
        <v>316836</v>
      </c>
      <c r="I114" s="4">
        <f t="shared" si="13"/>
        <v>3667.083333333333</v>
      </c>
      <c r="J114" s="5">
        <f t="shared" si="14"/>
        <v>8.5926951705037211E-2</v>
      </c>
      <c r="K114" s="7">
        <v>51.786127071549956</v>
      </c>
      <c r="L114" s="7">
        <v>19.647923851885768</v>
      </c>
      <c r="M114" s="3">
        <v>27199.999999999818</v>
      </c>
      <c r="N114" s="3">
        <v>7879.9999999991996</v>
      </c>
      <c r="O114" s="3">
        <f t="shared" si="15"/>
        <v>35079.999999999018</v>
      </c>
      <c r="P114" s="6">
        <f t="shared" si="18"/>
        <v>7.8472102013732087E-2</v>
      </c>
      <c r="Q114" s="6">
        <f t="shared" si="19"/>
        <v>2.2733829553976112E-2</v>
      </c>
      <c r="R114" s="6">
        <f t="shared" si="16"/>
        <v>0.1012059315677082</v>
      </c>
      <c r="S114" s="6">
        <f t="shared" si="17"/>
        <v>0.1058702455718865</v>
      </c>
    </row>
    <row r="115" spans="1:19" x14ac:dyDescent="0.35">
      <c r="A115" s="2">
        <v>45160</v>
      </c>
      <c r="B115" s="3">
        <v>330930</v>
      </c>
      <c r="C115" s="3">
        <v>14153</v>
      </c>
      <c r="D115" s="3">
        <f t="shared" si="10"/>
        <v>345083</v>
      </c>
      <c r="E115" s="4">
        <f t="shared" si="11"/>
        <v>3830.208333333333</v>
      </c>
      <c r="F115" s="4">
        <f t="shared" si="11"/>
        <v>163.80787037037035</v>
      </c>
      <c r="G115" s="4">
        <f t="shared" si="12"/>
        <v>3994.0162037037035</v>
      </c>
      <c r="H115" s="3">
        <v>319776</v>
      </c>
      <c r="I115" s="4">
        <f t="shared" si="13"/>
        <v>3701.1111111111109</v>
      </c>
      <c r="J115" s="5">
        <f t="shared" si="14"/>
        <v>7.3335980039584678E-2</v>
      </c>
      <c r="K115" s="7">
        <v>51.866835994646635</v>
      </c>
      <c r="L115" s="7">
        <v>19.735435722827972</v>
      </c>
      <c r="M115" s="3">
        <v>27879.9999999992</v>
      </c>
      <c r="N115" s="3">
        <v>7180.000000000291</v>
      </c>
      <c r="O115" s="3">
        <f t="shared" si="15"/>
        <v>35059.999999999491</v>
      </c>
      <c r="P115" s="6">
        <f t="shared" si="18"/>
        <v>8.0792157249123253E-2</v>
      </c>
      <c r="Q115" s="6">
        <f t="shared" si="19"/>
        <v>2.0806588559854559E-2</v>
      </c>
      <c r="R115" s="6">
        <f t="shared" si="16"/>
        <v>0.10159874580897782</v>
      </c>
      <c r="S115" s="6">
        <f t="shared" si="17"/>
        <v>0.10594385519596135</v>
      </c>
    </row>
    <row r="116" spans="1:19" x14ac:dyDescent="0.35">
      <c r="A116" s="2">
        <v>45161</v>
      </c>
      <c r="B116" s="3">
        <v>330148</v>
      </c>
      <c r="C116" s="3">
        <v>23826</v>
      </c>
      <c r="D116" s="3">
        <f t="shared" si="10"/>
        <v>353974</v>
      </c>
      <c r="E116" s="4">
        <f t="shared" si="11"/>
        <v>3821.1574074074069</v>
      </c>
      <c r="F116" s="4">
        <f t="shared" si="11"/>
        <v>275.76388888888886</v>
      </c>
      <c r="G116" s="4">
        <f t="shared" si="12"/>
        <v>4096.9212962962956</v>
      </c>
      <c r="H116" s="3">
        <v>329866</v>
      </c>
      <c r="I116" s="4">
        <f t="shared" si="13"/>
        <v>3817.8935185185182</v>
      </c>
      <c r="J116" s="5">
        <f t="shared" si="14"/>
        <v>6.8106697102047045E-2</v>
      </c>
      <c r="K116" s="7">
        <v>55.98218853865491</v>
      </c>
      <c r="L116" s="7">
        <v>21.462771858333756</v>
      </c>
      <c r="M116" s="3">
        <v>29600.000000002183</v>
      </c>
      <c r="N116" s="3">
        <v>7960.0000000004911</v>
      </c>
      <c r="O116" s="3">
        <f t="shared" si="15"/>
        <v>37560.000000002678</v>
      </c>
      <c r="P116" s="6">
        <f t="shared" si="18"/>
        <v>8.3621960934990094E-2</v>
      </c>
      <c r="Q116" s="6">
        <f t="shared" si="19"/>
        <v>2.2487527332517333E-2</v>
      </c>
      <c r="R116" s="6">
        <f t="shared" si="16"/>
        <v>0.10610948826750743</v>
      </c>
      <c r="S116" s="6">
        <f t="shared" si="17"/>
        <v>0.11376715897113621</v>
      </c>
    </row>
    <row r="117" spans="1:19" x14ac:dyDescent="0.35">
      <c r="A117" s="2">
        <v>45162</v>
      </c>
      <c r="B117" s="3">
        <v>330030</v>
      </c>
      <c r="C117" s="3">
        <v>23906</v>
      </c>
      <c r="D117" s="3">
        <f t="shared" si="10"/>
        <v>353936</v>
      </c>
      <c r="E117" s="4">
        <f t="shared" si="11"/>
        <v>3819.7916666666665</v>
      </c>
      <c r="F117" s="4">
        <f t="shared" si="11"/>
        <v>276.68981481481478</v>
      </c>
      <c r="G117" s="4">
        <f t="shared" si="12"/>
        <v>4096.4814814814818</v>
      </c>
      <c r="H117" s="3">
        <v>321842</v>
      </c>
      <c r="I117" s="4">
        <f t="shared" si="13"/>
        <v>3725.0231481481478</v>
      </c>
      <c r="J117" s="5">
        <f t="shared" si="14"/>
        <v>9.0677410605307179E-2</v>
      </c>
      <c r="K117" s="7">
        <v>55.535154836384812</v>
      </c>
      <c r="L117" s="7">
        <v>20.009545686708037</v>
      </c>
      <c r="M117" s="3">
        <v>28759.999999999309</v>
      </c>
      <c r="N117" s="3">
        <v>8559.9999999990359</v>
      </c>
      <c r="O117" s="3">
        <f t="shared" si="15"/>
        <v>37319.999999998341</v>
      </c>
      <c r="P117" s="6">
        <f t="shared" si="18"/>
        <v>8.1257628497805559E-2</v>
      </c>
      <c r="Q117" s="6">
        <f t="shared" si="19"/>
        <v>2.4185163419372529E-2</v>
      </c>
      <c r="R117" s="6">
        <f t="shared" si="16"/>
        <v>0.10544279191717808</v>
      </c>
      <c r="S117" s="6">
        <f t="shared" si="17"/>
        <v>0.11308062903371918</v>
      </c>
    </row>
    <row r="118" spans="1:19" x14ac:dyDescent="0.35">
      <c r="A118" s="2">
        <v>45163</v>
      </c>
      <c r="B118" s="3">
        <v>329517</v>
      </c>
      <c r="C118" s="3">
        <v>15996</v>
      </c>
      <c r="D118" s="3">
        <f t="shared" si="10"/>
        <v>345513</v>
      </c>
      <c r="E118" s="4">
        <f t="shared" si="11"/>
        <v>3813.8541666666665</v>
      </c>
      <c r="F118" s="4">
        <f t="shared" si="11"/>
        <v>185.13888888888889</v>
      </c>
      <c r="G118" s="4">
        <f t="shared" si="12"/>
        <v>3998.9930555555552</v>
      </c>
      <c r="H118" s="3">
        <v>318366</v>
      </c>
      <c r="I118" s="4">
        <f t="shared" si="13"/>
        <v>3684.7916666666665</v>
      </c>
      <c r="J118" s="5">
        <f t="shared" si="14"/>
        <v>7.8570126160231304E-2</v>
      </c>
      <c r="K118" s="7">
        <v>55.153575319399962</v>
      </c>
      <c r="L118" s="7">
        <v>18.826097047960101</v>
      </c>
      <c r="M118" s="3">
        <v>28800.000000000182</v>
      </c>
      <c r="N118" s="3">
        <v>8080.0000000012915</v>
      </c>
      <c r="O118" s="3">
        <f t="shared" si="15"/>
        <v>36880.00000000147</v>
      </c>
      <c r="P118" s="6">
        <f t="shared" si="18"/>
        <v>8.3354316624845326E-2</v>
      </c>
      <c r="Q118" s="6">
        <f t="shared" si="19"/>
        <v>2.3385516608640751E-2</v>
      </c>
      <c r="R118" s="6">
        <f t="shared" si="16"/>
        <v>0.10673983323348606</v>
      </c>
      <c r="S118" s="6">
        <f t="shared" si="17"/>
        <v>0.11192138797088305</v>
      </c>
    </row>
    <row r="119" spans="1:19" x14ac:dyDescent="0.35">
      <c r="A119" s="2">
        <v>45164</v>
      </c>
      <c r="B119" s="3">
        <v>328549</v>
      </c>
      <c r="C119" s="3">
        <v>17014</v>
      </c>
      <c r="D119" s="3">
        <f t="shared" si="10"/>
        <v>345563</v>
      </c>
      <c r="E119" s="4">
        <f t="shared" si="11"/>
        <v>3802.6504629629626</v>
      </c>
      <c r="F119" s="4">
        <f t="shared" si="11"/>
        <v>196.92129629629628</v>
      </c>
      <c r="G119" s="4">
        <f t="shared" si="12"/>
        <v>3999.5717592592587</v>
      </c>
      <c r="H119" s="3">
        <v>317648</v>
      </c>
      <c r="I119" s="4">
        <f t="shared" si="13"/>
        <v>3676.4814814814813</v>
      </c>
      <c r="J119" s="5">
        <f t="shared" si="14"/>
        <v>8.0781217896591942E-2</v>
      </c>
      <c r="K119" s="7">
        <v>55.054496335416147</v>
      </c>
      <c r="L119" s="7">
        <v>19.331227351178836</v>
      </c>
      <c r="M119" s="3">
        <v>29080.000000002656</v>
      </c>
      <c r="N119" s="3">
        <v>6519.9999999990723</v>
      </c>
      <c r="O119" s="3">
        <f t="shared" si="15"/>
        <v>35600.000000001732</v>
      </c>
      <c r="P119" s="6">
        <f t="shared" si="18"/>
        <v>8.4152527903747373E-2</v>
      </c>
      <c r="Q119" s="6">
        <f t="shared" si="19"/>
        <v>1.8867760726695486E-2</v>
      </c>
      <c r="R119" s="6">
        <f t="shared" si="16"/>
        <v>0.10302028863044288</v>
      </c>
      <c r="S119" s="6">
        <f t="shared" si="17"/>
        <v>0.10835522250867216</v>
      </c>
    </row>
    <row r="120" spans="1:19" x14ac:dyDescent="0.35">
      <c r="A120" s="2">
        <v>45165</v>
      </c>
      <c r="B120" s="3">
        <v>326877</v>
      </c>
      <c r="C120" s="3">
        <v>16517</v>
      </c>
      <c r="D120" s="3">
        <f t="shared" si="10"/>
        <v>343394</v>
      </c>
      <c r="E120" s="4">
        <f t="shared" si="11"/>
        <v>3783.2986111111109</v>
      </c>
      <c r="F120" s="4">
        <f t="shared" si="11"/>
        <v>191.16898148148147</v>
      </c>
      <c r="G120" s="4">
        <f t="shared" si="12"/>
        <v>3974.4675925925922</v>
      </c>
      <c r="H120" s="3">
        <v>316972</v>
      </c>
      <c r="I120" s="4">
        <f t="shared" si="13"/>
        <v>3668.6574074074074</v>
      </c>
      <c r="J120" s="5">
        <f t="shared" si="14"/>
        <v>7.6943685678841217E-2</v>
      </c>
      <c r="K120" s="7">
        <v>50.64127774858288</v>
      </c>
      <c r="L120" s="7">
        <v>16.156155702187188</v>
      </c>
      <c r="M120" s="3">
        <v>29359.999999997854</v>
      </c>
      <c r="N120" s="3">
        <v>6720.0000000002547</v>
      </c>
      <c r="O120" s="3">
        <f t="shared" si="15"/>
        <v>36079.999999998108</v>
      </c>
      <c r="P120" s="6">
        <f t="shared" si="18"/>
        <v>8.5499455436023497E-2</v>
      </c>
      <c r="Q120" s="6">
        <f t="shared" si="19"/>
        <v>1.9569357647484392E-2</v>
      </c>
      <c r="R120" s="6">
        <f t="shared" si="16"/>
        <v>0.10506881308350789</v>
      </c>
      <c r="S120" s="6">
        <f t="shared" si="17"/>
        <v>0.11037790973362491</v>
      </c>
    </row>
    <row r="121" spans="1:19" x14ac:dyDescent="0.35">
      <c r="A121" s="8">
        <v>45166</v>
      </c>
      <c r="B121" s="3">
        <v>328051</v>
      </c>
      <c r="C121" s="3">
        <v>24694</v>
      </c>
      <c r="D121" s="3">
        <f t="shared" si="10"/>
        <v>352745</v>
      </c>
      <c r="E121" s="4">
        <f t="shared" si="11"/>
        <v>3796.8865740740739</v>
      </c>
      <c r="F121" s="4">
        <f t="shared" si="11"/>
        <v>285.81018518518516</v>
      </c>
      <c r="G121" s="4">
        <f t="shared" si="12"/>
        <v>4082.6967592592591</v>
      </c>
      <c r="H121" s="3">
        <v>320764</v>
      </c>
      <c r="I121" s="4">
        <f t="shared" si="13"/>
        <v>3712.5462962962961</v>
      </c>
      <c r="J121" s="5">
        <f t="shared" si="14"/>
        <v>9.0663226976994707E-2</v>
      </c>
      <c r="K121" s="7">
        <v>49.917157518746507</v>
      </c>
      <c r="L121" s="7">
        <v>16.241431427660874</v>
      </c>
      <c r="M121" s="3">
        <v>31079.999999999018</v>
      </c>
      <c r="N121" s="3">
        <v>9980.0000000000182</v>
      </c>
      <c r="O121" s="3">
        <f t="shared" si="15"/>
        <v>41059.99999999904</v>
      </c>
      <c r="P121" s="6">
        <f t="shared" si="18"/>
        <v>8.810897390465923E-2</v>
      </c>
      <c r="Q121" s="6">
        <f t="shared" si="19"/>
        <v>2.8292392521509925E-2</v>
      </c>
      <c r="R121" s="6">
        <f t="shared" si="16"/>
        <v>0.11640136642616916</v>
      </c>
      <c r="S121" s="6">
        <f t="shared" si="17"/>
        <v>0.12516346543677367</v>
      </c>
    </row>
    <row r="122" spans="1:19" x14ac:dyDescent="0.35">
      <c r="A122" s="2">
        <v>45167</v>
      </c>
      <c r="B122" s="3">
        <v>328864</v>
      </c>
      <c r="C122" s="3">
        <v>22692</v>
      </c>
      <c r="D122" s="3">
        <f t="shared" si="10"/>
        <v>351556</v>
      </c>
      <c r="E122" s="4">
        <f t="shared" si="11"/>
        <v>3806.2962962962961</v>
      </c>
      <c r="F122" s="4">
        <f t="shared" si="11"/>
        <v>262.63888888888886</v>
      </c>
      <c r="G122" s="4">
        <f t="shared" si="12"/>
        <v>4068.9351851851848</v>
      </c>
      <c r="H122" s="3">
        <v>323824</v>
      </c>
      <c r="I122" s="4">
        <f t="shared" si="13"/>
        <v>3747.9629629629626</v>
      </c>
      <c r="J122" s="5">
        <f t="shared" si="14"/>
        <v>7.8883591803297334E-2</v>
      </c>
      <c r="K122" s="7">
        <v>51.99948064563678</v>
      </c>
      <c r="L122" s="7">
        <v>18.840655309132785</v>
      </c>
      <c r="M122" s="3">
        <v>31080.000000000837</v>
      </c>
      <c r="N122" s="3">
        <v>9299.9999999992724</v>
      </c>
      <c r="O122" s="3">
        <f t="shared" si="15"/>
        <v>40380.000000000109</v>
      </c>
      <c r="P122" s="6">
        <f t="shared" si="18"/>
        <v>8.8406967879941845E-2</v>
      </c>
      <c r="Q122" s="6">
        <f t="shared" si="19"/>
        <v>2.6453822435114953E-2</v>
      </c>
      <c r="R122" s="6">
        <f t="shared" si="16"/>
        <v>0.1148607903150568</v>
      </c>
      <c r="S122" s="6">
        <f t="shared" si="17"/>
        <v>0.12278631896467875</v>
      </c>
    </row>
    <row r="123" spans="1:19" x14ac:dyDescent="0.35">
      <c r="A123" s="2">
        <v>45168</v>
      </c>
      <c r="B123" s="3">
        <v>328218</v>
      </c>
      <c r="C123" s="3">
        <v>23248</v>
      </c>
      <c r="D123" s="3">
        <f t="shared" si="10"/>
        <v>351466</v>
      </c>
      <c r="E123" s="4">
        <f t="shared" si="11"/>
        <v>3798.8194444444443</v>
      </c>
      <c r="F123" s="4">
        <f t="shared" si="11"/>
        <v>269.07407407407408</v>
      </c>
      <c r="G123" s="4">
        <f t="shared" si="12"/>
        <v>4067.8935185185182</v>
      </c>
      <c r="H123" s="3">
        <v>323374</v>
      </c>
      <c r="I123" s="4">
        <f t="shared" si="13"/>
        <v>3742.7546296296296</v>
      </c>
      <c r="J123" s="5">
        <f t="shared" si="14"/>
        <v>7.9928072701200115E-2</v>
      </c>
      <c r="K123" s="7">
        <v>56.017349801445235</v>
      </c>
      <c r="L123" s="7">
        <v>22.163572873036895</v>
      </c>
      <c r="M123" s="3">
        <v>31879.999999997381</v>
      </c>
      <c r="N123" s="3">
        <v>9120.0000000012551</v>
      </c>
      <c r="O123" s="3">
        <f t="shared" si="15"/>
        <v>40999.999999998632</v>
      </c>
      <c r="P123" s="6">
        <f t="shared" si="18"/>
        <v>9.0705786619466405E-2</v>
      </c>
      <c r="Q123" s="6">
        <f t="shared" si="19"/>
        <v>2.5948455896164225E-2</v>
      </c>
      <c r="R123" s="6">
        <f t="shared" si="16"/>
        <v>0.11665424251563063</v>
      </c>
      <c r="S123" s="6">
        <f t="shared" si="17"/>
        <v>0.12491697591234677</v>
      </c>
    </row>
    <row r="124" spans="1:19" x14ac:dyDescent="0.35">
      <c r="A124" s="2">
        <v>45169</v>
      </c>
      <c r="B124" s="3">
        <v>327886</v>
      </c>
      <c r="C124" s="3">
        <v>22005</v>
      </c>
      <c r="D124" s="3">
        <f t="shared" si="10"/>
        <v>349891</v>
      </c>
      <c r="E124" s="4">
        <f t="shared" si="11"/>
        <v>3794.9768518518517</v>
      </c>
      <c r="F124" s="4">
        <f t="shared" si="11"/>
        <v>254.68749999999997</v>
      </c>
      <c r="G124" s="4">
        <f t="shared" si="12"/>
        <v>4049.6643518518517</v>
      </c>
      <c r="H124" s="3">
        <v>322664</v>
      </c>
      <c r="I124" s="4">
        <f t="shared" si="13"/>
        <v>3734.537037037037</v>
      </c>
      <c r="J124" s="5">
        <f t="shared" si="14"/>
        <v>7.7815662592064391E-2</v>
      </c>
      <c r="K124" s="7">
        <v>56.298259467647888</v>
      </c>
      <c r="L124" s="7">
        <v>22.263340021306021</v>
      </c>
      <c r="M124" s="3">
        <v>34880.000000001019</v>
      </c>
      <c r="N124" s="3">
        <v>9199.9999999989086</v>
      </c>
      <c r="O124" s="3">
        <f t="shared" si="15"/>
        <v>44079.999999999927</v>
      </c>
      <c r="P124" s="6">
        <f t="shared" si="18"/>
        <v>9.9688188607312045E-2</v>
      </c>
      <c r="Q124" s="6">
        <f t="shared" si="19"/>
        <v>2.6293902958346767E-2</v>
      </c>
      <c r="R124" s="6">
        <f t="shared" si="16"/>
        <v>0.12598209156565882</v>
      </c>
      <c r="S124" s="6">
        <f t="shared" si="17"/>
        <v>0.13443696894652388</v>
      </c>
    </row>
    <row r="125" spans="1:19" x14ac:dyDescent="0.35">
      <c r="A125" s="2">
        <v>45170</v>
      </c>
      <c r="B125" s="3">
        <v>327158</v>
      </c>
      <c r="C125" s="3">
        <v>23429</v>
      </c>
      <c r="D125" s="3">
        <f t="shared" si="10"/>
        <v>350587</v>
      </c>
      <c r="E125" s="4">
        <f t="shared" si="11"/>
        <v>3786.5509259259256</v>
      </c>
      <c r="F125" s="4">
        <f t="shared" si="11"/>
        <v>271.16898148148147</v>
      </c>
      <c r="G125" s="4">
        <f t="shared" si="12"/>
        <v>4057.7199074074069</v>
      </c>
      <c r="H125" s="3">
        <v>322186</v>
      </c>
      <c r="I125" s="4">
        <f t="shared" si="13"/>
        <v>3729.0046296296296</v>
      </c>
      <c r="J125" s="5">
        <f t="shared" si="14"/>
        <v>8.1009849195777361E-2</v>
      </c>
      <c r="K125" s="7">
        <v>55.445248438591513</v>
      </c>
      <c r="L125" s="7">
        <v>20.216835513297664</v>
      </c>
      <c r="M125" s="3">
        <v>29920.000000001892</v>
      </c>
      <c r="N125" s="3">
        <v>9160.0000000012187</v>
      </c>
      <c r="O125" s="3">
        <f t="shared" si="15"/>
        <v>39080.000000003114</v>
      </c>
      <c r="P125" s="6">
        <f t="shared" si="18"/>
        <v>8.5342582582930607E-2</v>
      </c>
      <c r="Q125" s="6">
        <f t="shared" si="19"/>
        <v>2.612760883889368E-2</v>
      </c>
      <c r="R125" s="6">
        <f t="shared" si="16"/>
        <v>0.11147019142182429</v>
      </c>
      <c r="S125" s="6">
        <f t="shared" si="17"/>
        <v>0.11945298601899729</v>
      </c>
    </row>
    <row r="126" spans="1:19" x14ac:dyDescent="0.35">
      <c r="A126" s="2">
        <v>45171</v>
      </c>
      <c r="B126" s="3">
        <v>326109</v>
      </c>
      <c r="C126" s="3">
        <v>22207</v>
      </c>
      <c r="D126" s="3">
        <f t="shared" si="10"/>
        <v>348316</v>
      </c>
      <c r="E126" s="4">
        <f t="shared" si="11"/>
        <v>3774.4097222222222</v>
      </c>
      <c r="F126" s="4">
        <f t="shared" si="11"/>
        <v>257.02546296296293</v>
      </c>
      <c r="G126" s="4">
        <f t="shared" si="12"/>
        <v>4031.4351851851852</v>
      </c>
      <c r="H126" s="3">
        <v>318894</v>
      </c>
      <c r="I126" s="4">
        <f t="shared" si="13"/>
        <v>3690.9027777777774</v>
      </c>
      <c r="J126" s="5">
        <f t="shared" si="14"/>
        <v>8.4469275026125695E-2</v>
      </c>
      <c r="K126" s="7">
        <v>55.609854304597185</v>
      </c>
      <c r="L126" s="7">
        <v>20.381153929076106</v>
      </c>
      <c r="M126" s="3">
        <v>32319.999999999709</v>
      </c>
      <c r="N126" s="3">
        <v>7799.9999999988177</v>
      </c>
      <c r="O126" s="3">
        <f t="shared" si="15"/>
        <v>40119.99999999853</v>
      </c>
      <c r="P126" s="6">
        <f t="shared" si="18"/>
        <v>9.2789306262128959E-2</v>
      </c>
      <c r="Q126" s="6">
        <f t="shared" si="19"/>
        <v>2.2393458813258126E-2</v>
      </c>
      <c r="R126" s="6">
        <f t="shared" si="16"/>
        <v>0.11518276507538709</v>
      </c>
      <c r="S126" s="6">
        <f t="shared" si="17"/>
        <v>0.12302635008539639</v>
      </c>
    </row>
    <row r="127" spans="1:19" x14ac:dyDescent="0.35">
      <c r="A127" s="2">
        <v>45172</v>
      </c>
      <c r="B127" s="3">
        <v>325761</v>
      </c>
      <c r="C127" s="3">
        <v>19861</v>
      </c>
      <c r="D127" s="3">
        <f t="shared" si="10"/>
        <v>345622</v>
      </c>
      <c r="E127" s="4">
        <f t="shared" si="11"/>
        <v>3770.3819444444443</v>
      </c>
      <c r="F127" s="4">
        <f t="shared" si="11"/>
        <v>229.87268518518516</v>
      </c>
      <c r="G127" s="4">
        <f t="shared" si="12"/>
        <v>4000.2546296296296</v>
      </c>
      <c r="H127" s="3">
        <v>318302</v>
      </c>
      <c r="I127" s="4">
        <f t="shared" si="13"/>
        <v>3684.0509259259256</v>
      </c>
      <c r="J127" s="5">
        <f t="shared" si="14"/>
        <v>7.9045894069243283E-2</v>
      </c>
      <c r="K127" s="7">
        <v>62.271676320441998</v>
      </c>
      <c r="L127" s="7">
        <v>20.245184951258324</v>
      </c>
      <c r="M127" s="3">
        <v>31559.999999999491</v>
      </c>
      <c r="N127" s="3">
        <v>7360.0000000001273</v>
      </c>
      <c r="O127" s="3">
        <f t="shared" si="15"/>
        <v>38919.999999999622</v>
      </c>
      <c r="P127" s="6">
        <f t="shared" si="18"/>
        <v>9.1313631655390831E-2</v>
      </c>
      <c r="Q127" s="6">
        <f t="shared" si="19"/>
        <v>2.1294940715579816E-2</v>
      </c>
      <c r="R127" s="6">
        <f t="shared" si="16"/>
        <v>0.11260857237097066</v>
      </c>
      <c r="S127" s="6">
        <f t="shared" si="17"/>
        <v>0.11947409296999832</v>
      </c>
    </row>
    <row r="128" spans="1:19" x14ac:dyDescent="0.35">
      <c r="A128" s="8">
        <v>45173</v>
      </c>
      <c r="B128" s="3">
        <v>324257</v>
      </c>
      <c r="C128" s="3">
        <v>26427</v>
      </c>
      <c r="D128" s="3">
        <f t="shared" si="10"/>
        <v>350684</v>
      </c>
      <c r="E128" s="4">
        <f t="shared" si="11"/>
        <v>3752.974537037037</v>
      </c>
      <c r="F128" s="4">
        <f t="shared" si="11"/>
        <v>305.86805555555554</v>
      </c>
      <c r="G128" s="4">
        <f t="shared" si="12"/>
        <v>4058.8425925925926</v>
      </c>
      <c r="H128" s="3">
        <v>322058</v>
      </c>
      <c r="I128" s="4">
        <f t="shared" si="13"/>
        <v>3727.5231481481478</v>
      </c>
      <c r="J128" s="5">
        <f t="shared" si="14"/>
        <v>8.1629044952150648E-2</v>
      </c>
      <c r="K128" s="7">
        <v>52.911325438883566</v>
      </c>
      <c r="L128" s="7">
        <v>18.667860197454555</v>
      </c>
      <c r="M128" s="3">
        <v>31680.00000000211</v>
      </c>
      <c r="N128" s="3">
        <v>9259.9999999997635</v>
      </c>
      <c r="O128" s="3">
        <f t="shared" si="15"/>
        <v>40940.000000001877</v>
      </c>
      <c r="P128" s="6">
        <f t="shared" si="18"/>
        <v>9.033773995962778E-2</v>
      </c>
      <c r="Q128" s="6">
        <f t="shared" si="19"/>
        <v>2.6405538889712001E-2</v>
      </c>
      <c r="R128" s="6">
        <f t="shared" si="16"/>
        <v>0.1167432788493398</v>
      </c>
      <c r="S128" s="6">
        <f t="shared" si="17"/>
        <v>0.12625787569736929</v>
      </c>
    </row>
    <row r="129" spans="1:19" x14ac:dyDescent="0.35">
      <c r="A129" s="2">
        <v>45174</v>
      </c>
      <c r="B129" s="3">
        <v>326050</v>
      </c>
      <c r="C129" s="3">
        <v>24604</v>
      </c>
      <c r="D129" s="3">
        <f t="shared" si="10"/>
        <v>350654</v>
      </c>
      <c r="E129" s="4">
        <f t="shared" si="11"/>
        <v>3773.7268518518517</v>
      </c>
      <c r="F129" s="4">
        <f t="shared" si="11"/>
        <v>284.76851851851848</v>
      </c>
      <c r="G129" s="4">
        <f t="shared" si="12"/>
        <v>4058.4953703703704</v>
      </c>
      <c r="H129" s="3">
        <v>323518</v>
      </c>
      <c r="I129" s="4">
        <f t="shared" si="13"/>
        <v>3744.4212962962961</v>
      </c>
      <c r="J129" s="5">
        <f t="shared" si="14"/>
        <v>7.7386825759865857E-2</v>
      </c>
      <c r="K129" s="7">
        <v>55.522475745305265</v>
      </c>
      <c r="L129" s="7">
        <v>20.697309056774682</v>
      </c>
      <c r="M129" s="3">
        <v>32279.999999997017</v>
      </c>
      <c r="N129" s="3">
        <v>8780.0000000015643</v>
      </c>
      <c r="O129" s="3">
        <f t="shared" si="15"/>
        <v>41059.999999998581</v>
      </c>
      <c r="P129" s="6">
        <f t="shared" si="18"/>
        <v>9.2056557176011161E-2</v>
      </c>
      <c r="Q129" s="6">
        <f t="shared" si="19"/>
        <v>2.5038927261635584E-2</v>
      </c>
      <c r="R129" s="6">
        <f t="shared" si="16"/>
        <v>0.11709548443764674</v>
      </c>
      <c r="S129" s="6">
        <f t="shared" si="17"/>
        <v>0.12593160558196159</v>
      </c>
    </row>
    <row r="130" spans="1:19" x14ac:dyDescent="0.35">
      <c r="A130" s="2">
        <v>45175</v>
      </c>
      <c r="B130" s="3">
        <v>325676</v>
      </c>
      <c r="C130" s="3">
        <v>26113</v>
      </c>
      <c r="D130" s="3">
        <f t="shared" si="10"/>
        <v>351789</v>
      </c>
      <c r="E130" s="4">
        <f t="shared" si="11"/>
        <v>3769.3981481481478</v>
      </c>
      <c r="F130" s="4">
        <f t="shared" si="11"/>
        <v>302.2337962962963</v>
      </c>
      <c r="G130" s="4">
        <f t="shared" si="12"/>
        <v>4071.6319444444443</v>
      </c>
      <c r="H130" s="3">
        <v>325164</v>
      </c>
      <c r="I130" s="4">
        <f t="shared" si="13"/>
        <v>3763.4722222222222</v>
      </c>
      <c r="J130" s="5">
        <f t="shared" si="14"/>
        <v>7.5684572286228394E-2</v>
      </c>
      <c r="K130" s="7">
        <v>55.526909324959284</v>
      </c>
      <c r="L130" s="7">
        <v>21.885743739906882</v>
      </c>
      <c r="M130" s="3">
        <v>32680.00000000302</v>
      </c>
      <c r="N130" s="3">
        <v>8771.9999999985703</v>
      </c>
      <c r="O130" s="3">
        <f t="shared" si="15"/>
        <v>41452.000000001586</v>
      </c>
      <c r="P130" s="6">
        <f t="shared" si="18"/>
        <v>9.2896594265321028E-2</v>
      </c>
      <c r="Q130" s="6">
        <f t="shared" si="19"/>
        <v>2.4935401618579801E-2</v>
      </c>
      <c r="R130" s="6">
        <f t="shared" si="16"/>
        <v>0.11783199588390082</v>
      </c>
      <c r="S130" s="6">
        <f t="shared" si="17"/>
        <v>0.12727987324826387</v>
      </c>
    </row>
    <row r="131" spans="1:19" x14ac:dyDescent="0.35">
      <c r="A131" s="2">
        <v>45176</v>
      </c>
      <c r="B131" s="3">
        <v>327258</v>
      </c>
      <c r="C131" s="3">
        <v>29001</v>
      </c>
      <c r="D131" s="3">
        <f t="shared" si="10"/>
        <v>356259</v>
      </c>
      <c r="E131" s="4">
        <f t="shared" si="11"/>
        <v>3787.708333333333</v>
      </c>
      <c r="F131" s="4">
        <f t="shared" si="11"/>
        <v>335.65972222222223</v>
      </c>
      <c r="G131" s="4">
        <f t="shared" si="12"/>
        <v>4123.3680555555557</v>
      </c>
      <c r="H131" s="3">
        <v>324202</v>
      </c>
      <c r="I131" s="4">
        <f t="shared" si="13"/>
        <v>3752.3379629629626</v>
      </c>
      <c r="J131" s="5">
        <f t="shared" si="14"/>
        <v>8.9982288166755089E-2</v>
      </c>
      <c r="K131" s="7">
        <v>55.49337085352272</v>
      </c>
      <c r="L131" s="7">
        <v>21.070863632652507</v>
      </c>
      <c r="M131" s="3">
        <v>31679.999999997563</v>
      </c>
      <c r="N131" s="3">
        <v>10748.000000000957</v>
      </c>
      <c r="O131" s="3">
        <f t="shared" si="15"/>
        <v>42427.999999998516</v>
      </c>
      <c r="P131" s="6">
        <f t="shared" si="18"/>
        <v>8.8924069286663812E-2</v>
      </c>
      <c r="Q131" s="6">
        <f t="shared" si="19"/>
        <v>3.0169062395619357E-2</v>
      </c>
      <c r="R131" s="6">
        <f t="shared" si="16"/>
        <v>0.11909313168228315</v>
      </c>
      <c r="S131" s="6">
        <f t="shared" si="17"/>
        <v>0.12964694522364165</v>
      </c>
    </row>
    <row r="132" spans="1:19" x14ac:dyDescent="0.35">
      <c r="A132" s="2">
        <v>45177</v>
      </c>
      <c r="B132" s="3">
        <v>326514</v>
      </c>
      <c r="C132" s="3">
        <v>26722</v>
      </c>
      <c r="D132" s="3">
        <f t="shared" ref="D132:D195" si="20">SUM(B132:C132)</f>
        <v>353236</v>
      </c>
      <c r="E132" s="4">
        <f t="shared" ref="E132:F195" si="21">B132/86.4</f>
        <v>3779.0972222222222</v>
      </c>
      <c r="F132" s="4">
        <f t="shared" si="21"/>
        <v>309.28240740740739</v>
      </c>
      <c r="G132" s="4">
        <f t="shared" ref="G132:G195" si="22">SUM(E132:F132)</f>
        <v>4088.3796296296296</v>
      </c>
      <c r="H132" s="3">
        <v>326318</v>
      </c>
      <c r="I132" s="4">
        <f t="shared" ref="I132:I195" si="23">H132/86.4</f>
        <v>3776.8287037037035</v>
      </c>
      <c r="J132" s="5">
        <f t="shared" ref="J132:J195" si="24">(D132-H132)/D132</f>
        <v>7.6204010916214662E-2</v>
      </c>
      <c r="K132" s="7">
        <v>56.182341844193722</v>
      </c>
      <c r="L132" s="7">
        <v>21.988409175949265</v>
      </c>
      <c r="M132" s="3">
        <v>32600.000000002183</v>
      </c>
      <c r="N132" s="3">
        <v>9319.9999999987995</v>
      </c>
      <c r="O132" s="3">
        <f t="shared" ref="O132:O195" si="25">SUM(M132:N132)</f>
        <v>41920.000000000982</v>
      </c>
      <c r="P132" s="6">
        <f t="shared" si="18"/>
        <v>9.2289574109100381E-2</v>
      </c>
      <c r="Q132" s="6">
        <f t="shared" si="19"/>
        <v>2.6384626708486111E-2</v>
      </c>
      <c r="R132" s="6">
        <f t="shared" ref="R132" si="26">O132/$D132</f>
        <v>0.11867420081758649</v>
      </c>
      <c r="S132" s="6">
        <f t="shared" ref="S132:S195" si="27">O132/B132</f>
        <v>0.12838653166480146</v>
      </c>
    </row>
    <row r="133" spans="1:19" x14ac:dyDescent="0.35">
      <c r="A133" s="2">
        <v>45178</v>
      </c>
      <c r="B133" s="3">
        <v>326190</v>
      </c>
      <c r="C133" s="3">
        <v>29001</v>
      </c>
      <c r="D133" s="3">
        <f t="shared" si="20"/>
        <v>355191</v>
      </c>
      <c r="E133" s="4">
        <f t="shared" si="21"/>
        <v>3775.3472222222222</v>
      </c>
      <c r="F133" s="4">
        <f t="shared" si="21"/>
        <v>335.65972222222223</v>
      </c>
      <c r="G133" s="4">
        <f t="shared" si="22"/>
        <v>4111.0069444444443</v>
      </c>
      <c r="H133" s="3">
        <v>326386</v>
      </c>
      <c r="I133" s="4">
        <f t="shared" si="23"/>
        <v>3777.6157407407404</v>
      </c>
      <c r="J133" s="5">
        <f t="shared" si="24"/>
        <v>8.1097212485676723E-2</v>
      </c>
      <c r="K133" s="7">
        <v>56.23613746325163</v>
      </c>
      <c r="L133" s="7">
        <v>22.313656319303728</v>
      </c>
      <c r="M133" s="3">
        <v>33159.999999998945</v>
      </c>
      <c r="N133" s="3">
        <v>8400.0000000010004</v>
      </c>
      <c r="O133" s="3">
        <f t="shared" si="25"/>
        <v>41559.999999999942</v>
      </c>
      <c r="P133" s="6">
        <f t="shared" ref="P133:P196" si="28">M133/$D133</f>
        <v>9.335822135132632E-2</v>
      </c>
      <c r="Q133" s="6">
        <f t="shared" ref="Q133:Q196" si="29">N133/$D133</f>
        <v>2.3649247869458968E-2</v>
      </c>
      <c r="R133" s="6">
        <f t="shared" ref="R133:R195" si="30">O133/$D133</f>
        <v>0.11700746922078527</v>
      </c>
      <c r="S133" s="6">
        <f t="shared" si="27"/>
        <v>0.12741040497869321</v>
      </c>
    </row>
    <row r="134" spans="1:19" x14ac:dyDescent="0.35">
      <c r="A134" s="2">
        <v>45179</v>
      </c>
      <c r="B134" s="3">
        <v>326341</v>
      </c>
      <c r="C134" s="3">
        <v>25752</v>
      </c>
      <c r="D134" s="3">
        <f t="shared" si="20"/>
        <v>352093</v>
      </c>
      <c r="E134" s="4">
        <f t="shared" si="21"/>
        <v>3777.0949074074069</v>
      </c>
      <c r="F134" s="4">
        <f t="shared" si="21"/>
        <v>298.05555555555554</v>
      </c>
      <c r="G134" s="4">
        <f t="shared" si="22"/>
        <v>4075.1504629629626</v>
      </c>
      <c r="H134" s="3">
        <v>326638</v>
      </c>
      <c r="I134" s="4">
        <f t="shared" si="23"/>
        <v>3780.5324074074069</v>
      </c>
      <c r="J134" s="5">
        <f t="shared" si="24"/>
        <v>7.2296239913886381E-2</v>
      </c>
      <c r="K134" s="7">
        <v>54.950458001157131</v>
      </c>
      <c r="L134" s="7">
        <v>21.609590379932058</v>
      </c>
      <c r="M134" s="3">
        <v>32159.999999999854</v>
      </c>
      <c r="N134" s="3">
        <v>8360.0000000001273</v>
      </c>
      <c r="O134" s="3">
        <f t="shared" si="25"/>
        <v>40519.999999999985</v>
      </c>
      <c r="P134" s="6">
        <f t="shared" si="28"/>
        <v>9.1339504051485984E-2</v>
      </c>
      <c r="Q134" s="6">
        <f t="shared" si="29"/>
        <v>2.3743726799453916E-2</v>
      </c>
      <c r="R134" s="6">
        <f t="shared" si="30"/>
        <v>0.11508323085093991</v>
      </c>
      <c r="S134" s="6">
        <f t="shared" si="27"/>
        <v>0.12416460083164538</v>
      </c>
    </row>
    <row r="135" spans="1:19" x14ac:dyDescent="0.35">
      <c r="A135" s="8">
        <v>45180</v>
      </c>
      <c r="B135" s="3">
        <v>326656</v>
      </c>
      <c r="C135" s="3">
        <v>23811</v>
      </c>
      <c r="D135" s="3">
        <f t="shared" si="20"/>
        <v>350467</v>
      </c>
      <c r="E135" s="4">
        <f t="shared" si="21"/>
        <v>3780.7407407407404</v>
      </c>
      <c r="F135" s="4">
        <f t="shared" si="21"/>
        <v>275.59027777777777</v>
      </c>
      <c r="G135" s="4">
        <f t="shared" si="22"/>
        <v>4056.3310185185182</v>
      </c>
      <c r="H135" s="3">
        <v>326036</v>
      </c>
      <c r="I135" s="4">
        <f t="shared" si="23"/>
        <v>3773.5648148148148</v>
      </c>
      <c r="J135" s="5">
        <f t="shared" si="24"/>
        <v>6.9709844293471282E-2</v>
      </c>
      <c r="K135" s="7">
        <v>56.09893571627461</v>
      </c>
      <c r="L135" s="7">
        <v>22.162137101854423</v>
      </c>
      <c r="M135" s="3">
        <v>31999.999999999091</v>
      </c>
      <c r="N135" s="3">
        <v>9039.9999999999636</v>
      </c>
      <c r="O135" s="3">
        <f t="shared" si="25"/>
        <v>41039.999999999054</v>
      </c>
      <c r="P135" s="6">
        <f t="shared" si="28"/>
        <v>9.1306742146904249E-2</v>
      </c>
      <c r="Q135" s="6">
        <f t="shared" si="29"/>
        <v>2.5794154656501079E-2</v>
      </c>
      <c r="R135" s="6">
        <f t="shared" si="30"/>
        <v>0.11710089680340532</v>
      </c>
      <c r="S135" s="6">
        <f t="shared" si="27"/>
        <v>0.12563675548589051</v>
      </c>
    </row>
    <row r="136" spans="1:19" x14ac:dyDescent="0.35">
      <c r="A136" s="2">
        <v>45181</v>
      </c>
      <c r="B136" s="3">
        <v>326764</v>
      </c>
      <c r="C136" s="3">
        <v>28893</v>
      </c>
      <c r="D136" s="3">
        <f t="shared" si="20"/>
        <v>355657</v>
      </c>
      <c r="E136" s="4">
        <f t="shared" si="21"/>
        <v>3781.9907407407404</v>
      </c>
      <c r="F136" s="4">
        <f t="shared" si="21"/>
        <v>334.40972222222223</v>
      </c>
      <c r="G136" s="4">
        <f t="shared" si="22"/>
        <v>4116.4004629629626</v>
      </c>
      <c r="H136" s="3">
        <v>325692</v>
      </c>
      <c r="I136" s="4">
        <f t="shared" si="23"/>
        <v>3769.583333333333</v>
      </c>
      <c r="J136" s="5">
        <f t="shared" si="24"/>
        <v>8.4252524201688703E-2</v>
      </c>
      <c r="K136" s="7">
        <v>56.25319874069146</v>
      </c>
      <c r="L136" s="7">
        <v>21.647722115741015</v>
      </c>
      <c r="M136" s="3">
        <v>32440.000000000509</v>
      </c>
      <c r="N136" s="3">
        <v>10080.000000000382</v>
      </c>
      <c r="O136" s="3">
        <f t="shared" si="25"/>
        <v>42520.000000000888</v>
      </c>
      <c r="P136" s="6">
        <f t="shared" si="28"/>
        <v>9.1211476225690785E-2</v>
      </c>
      <c r="Q136" s="6">
        <f t="shared" si="29"/>
        <v>2.8341913697749185E-2</v>
      </c>
      <c r="R136" s="6">
        <f t="shared" si="30"/>
        <v>0.11955338992343996</v>
      </c>
      <c r="S136" s="6">
        <f t="shared" si="27"/>
        <v>0.13012449351826055</v>
      </c>
    </row>
    <row r="137" spans="1:19" x14ac:dyDescent="0.35">
      <c r="A137" s="2">
        <v>45182</v>
      </c>
      <c r="B137" s="3">
        <v>326916</v>
      </c>
      <c r="C137" s="3">
        <v>29523</v>
      </c>
      <c r="D137" s="3">
        <f t="shared" si="20"/>
        <v>356439</v>
      </c>
      <c r="E137" s="4">
        <f t="shared" si="21"/>
        <v>3783.7499999999995</v>
      </c>
      <c r="F137" s="4">
        <f t="shared" si="21"/>
        <v>341.70138888888886</v>
      </c>
      <c r="G137" s="4">
        <f t="shared" si="22"/>
        <v>4125.4513888888887</v>
      </c>
      <c r="H137" s="3">
        <v>324508</v>
      </c>
      <c r="I137" s="4">
        <f t="shared" si="23"/>
        <v>3755.8796296296296</v>
      </c>
      <c r="J137" s="5">
        <f t="shared" si="24"/>
        <v>8.9583350867890432E-2</v>
      </c>
      <c r="K137" s="7">
        <v>63.371620618086446</v>
      </c>
      <c r="L137" s="7">
        <v>26.809695576213922</v>
      </c>
      <c r="M137" s="3">
        <v>32760.000000002037</v>
      </c>
      <c r="N137" s="3">
        <v>10039.999999999054</v>
      </c>
      <c r="O137" s="3">
        <f t="shared" si="25"/>
        <v>42800.000000001091</v>
      </c>
      <c r="P137" s="6">
        <f t="shared" si="28"/>
        <v>9.19091345223223E-2</v>
      </c>
      <c r="Q137" s="6">
        <f t="shared" si="29"/>
        <v>2.8167512533698764E-2</v>
      </c>
      <c r="R137" s="6">
        <f t="shared" si="30"/>
        <v>0.12007664705602106</v>
      </c>
      <c r="S137" s="6">
        <f t="shared" si="27"/>
        <v>0.13092048110218249</v>
      </c>
    </row>
    <row r="138" spans="1:19" x14ac:dyDescent="0.35">
      <c r="A138" s="2">
        <v>45183</v>
      </c>
      <c r="B138" s="3">
        <v>326977</v>
      </c>
      <c r="C138" s="3">
        <v>24506</v>
      </c>
      <c r="D138" s="3">
        <f t="shared" si="20"/>
        <v>351483</v>
      </c>
      <c r="E138" s="4">
        <f t="shared" si="21"/>
        <v>3784.4560185185182</v>
      </c>
      <c r="F138" s="4">
        <f t="shared" si="21"/>
        <v>283.63425925925924</v>
      </c>
      <c r="G138" s="4">
        <f t="shared" si="22"/>
        <v>4068.0902777777774</v>
      </c>
      <c r="H138" s="3">
        <v>325518</v>
      </c>
      <c r="I138" s="4">
        <f t="shared" si="23"/>
        <v>3767.5694444444443</v>
      </c>
      <c r="J138" s="5">
        <f t="shared" si="24"/>
        <v>7.3872705081042322E-2</v>
      </c>
      <c r="K138" s="7">
        <v>57.710796427565874</v>
      </c>
      <c r="L138" s="7">
        <v>20.97062221669362</v>
      </c>
      <c r="M138" s="3">
        <v>31679.999999998472</v>
      </c>
      <c r="N138" s="3">
        <v>9659.9999999998545</v>
      </c>
      <c r="O138" s="3">
        <f t="shared" si="25"/>
        <v>41339.999999998327</v>
      </c>
      <c r="P138" s="6">
        <f t="shared" si="28"/>
        <v>9.0132381935964109E-2</v>
      </c>
      <c r="Q138" s="6">
        <f t="shared" si="29"/>
        <v>2.7483548279717239E-2</v>
      </c>
      <c r="R138" s="6">
        <f t="shared" si="30"/>
        <v>0.11761593021568134</v>
      </c>
      <c r="S138" s="6">
        <f t="shared" si="27"/>
        <v>0.1264309110426676</v>
      </c>
    </row>
    <row r="139" spans="1:19" x14ac:dyDescent="0.35">
      <c r="A139" s="2">
        <v>45184</v>
      </c>
      <c r="B139" s="3">
        <v>327205</v>
      </c>
      <c r="C139" s="3">
        <v>23624</v>
      </c>
      <c r="D139" s="3">
        <f t="shared" si="20"/>
        <v>350829</v>
      </c>
      <c r="E139" s="4">
        <f t="shared" si="21"/>
        <v>3787.0949074074069</v>
      </c>
      <c r="F139" s="4">
        <f t="shared" si="21"/>
        <v>273.42592592592592</v>
      </c>
      <c r="G139" s="4">
        <f t="shared" si="22"/>
        <v>4060.520833333333</v>
      </c>
      <c r="H139" s="3">
        <v>324122</v>
      </c>
      <c r="I139" s="4">
        <f t="shared" si="23"/>
        <v>3751.412037037037</v>
      </c>
      <c r="J139" s="5">
        <f t="shared" si="24"/>
        <v>7.6125405824489997E-2</v>
      </c>
      <c r="K139" s="7">
        <v>62.730555103491874</v>
      </c>
      <c r="L139" s="7">
        <v>26.237938670528852</v>
      </c>
      <c r="M139" s="3">
        <v>33960.000000000946</v>
      </c>
      <c r="N139" s="3">
        <v>8699.9999999998181</v>
      </c>
      <c r="O139" s="3">
        <f t="shared" si="25"/>
        <v>42660.000000000764</v>
      </c>
      <c r="P139" s="6">
        <f t="shared" si="28"/>
        <v>9.6799295383223585E-2</v>
      </c>
      <c r="Q139" s="6">
        <f t="shared" si="29"/>
        <v>2.4798406061071969E-2</v>
      </c>
      <c r="R139" s="6">
        <f t="shared" si="30"/>
        <v>0.12159770144429555</v>
      </c>
      <c r="S139" s="6">
        <f t="shared" si="27"/>
        <v>0.13037698079186066</v>
      </c>
    </row>
    <row r="140" spans="1:19" x14ac:dyDescent="0.35">
      <c r="A140" s="2">
        <v>45185</v>
      </c>
      <c r="B140" s="3">
        <v>325205</v>
      </c>
      <c r="C140" s="3">
        <v>23742</v>
      </c>
      <c r="D140" s="3">
        <f t="shared" si="20"/>
        <v>348947</v>
      </c>
      <c r="E140" s="4">
        <f t="shared" si="21"/>
        <v>3763.9467592592591</v>
      </c>
      <c r="F140" s="4">
        <f t="shared" si="21"/>
        <v>274.79166666666663</v>
      </c>
      <c r="G140" s="4">
        <f t="shared" si="22"/>
        <v>4038.7384259259256</v>
      </c>
      <c r="H140" s="3">
        <v>321416</v>
      </c>
      <c r="I140" s="4">
        <f t="shared" si="23"/>
        <v>3720.0925925925922</v>
      </c>
      <c r="J140" s="5">
        <f t="shared" si="24"/>
        <v>7.8897368368262236E-2</v>
      </c>
      <c r="K140" s="7">
        <v>61.190734377805477</v>
      </c>
      <c r="L140" s="7">
        <v>25.665614517196271</v>
      </c>
      <c r="M140" s="3">
        <v>30639.999999997599</v>
      </c>
      <c r="N140" s="3">
        <v>7980.0000000009277</v>
      </c>
      <c r="O140" s="3">
        <f t="shared" si="25"/>
        <v>38619.99999999853</v>
      </c>
      <c r="P140" s="6">
        <f t="shared" si="28"/>
        <v>8.7807030867144864E-2</v>
      </c>
      <c r="Q140" s="6">
        <f t="shared" si="29"/>
        <v>2.2868802425585914E-2</v>
      </c>
      <c r="R140" s="6">
        <f t="shared" si="30"/>
        <v>0.11067583329273079</v>
      </c>
      <c r="S140" s="6">
        <f t="shared" si="27"/>
        <v>0.11875586168723891</v>
      </c>
    </row>
    <row r="141" spans="1:19" x14ac:dyDescent="0.35">
      <c r="A141" s="2">
        <v>45186</v>
      </c>
      <c r="B141" s="3">
        <v>327699</v>
      </c>
      <c r="C141" s="3">
        <v>23208</v>
      </c>
      <c r="D141" s="3">
        <f t="shared" si="20"/>
        <v>350907</v>
      </c>
      <c r="E141" s="4">
        <f t="shared" si="21"/>
        <v>3792.8124999999995</v>
      </c>
      <c r="F141" s="4">
        <f t="shared" si="21"/>
        <v>268.61111111111109</v>
      </c>
      <c r="G141" s="4">
        <f t="shared" si="22"/>
        <v>4061.4236111111104</v>
      </c>
      <c r="H141" s="3">
        <v>321678</v>
      </c>
      <c r="I141" s="4">
        <f t="shared" si="23"/>
        <v>3723.1249999999995</v>
      </c>
      <c r="J141" s="5">
        <f t="shared" si="24"/>
        <v>8.3295574040985212E-2</v>
      </c>
      <c r="K141" s="7">
        <v>55.718988526204193</v>
      </c>
      <c r="L141" s="7">
        <v>21.424500242983854</v>
      </c>
      <c r="M141" s="3">
        <v>31320.000000003347</v>
      </c>
      <c r="N141" s="3">
        <v>8299.9999999997272</v>
      </c>
      <c r="O141" s="3">
        <f t="shared" si="25"/>
        <v>39620.00000000307</v>
      </c>
      <c r="P141" s="6">
        <f t="shared" si="28"/>
        <v>8.9254417837214273E-2</v>
      </c>
      <c r="Q141" s="6">
        <f t="shared" si="29"/>
        <v>2.365299067844109E-2</v>
      </c>
      <c r="R141" s="6">
        <f t="shared" si="30"/>
        <v>0.11290740851565535</v>
      </c>
      <c r="S141" s="6">
        <f t="shared" si="27"/>
        <v>0.1209036341276692</v>
      </c>
    </row>
    <row r="142" spans="1:19" x14ac:dyDescent="0.35">
      <c r="A142" s="8">
        <v>45187</v>
      </c>
      <c r="B142" s="3">
        <v>327506</v>
      </c>
      <c r="C142" s="3">
        <v>24676</v>
      </c>
      <c r="D142" s="3">
        <f t="shared" si="20"/>
        <v>352182</v>
      </c>
      <c r="E142" s="4">
        <f t="shared" si="21"/>
        <v>3790.5787037037035</v>
      </c>
      <c r="F142" s="4">
        <f t="shared" si="21"/>
        <v>285.60185185185185</v>
      </c>
      <c r="G142" s="4">
        <f t="shared" si="22"/>
        <v>4076.1805555555552</v>
      </c>
      <c r="H142" s="3">
        <v>325596</v>
      </c>
      <c r="I142" s="4">
        <f t="shared" si="23"/>
        <v>3768.4722222222222</v>
      </c>
      <c r="J142" s="5">
        <f t="shared" si="24"/>
        <v>7.5489377651328002E-2</v>
      </c>
      <c r="K142" s="7">
        <v>55.515124025170543</v>
      </c>
      <c r="L142" s="7">
        <v>20.736106358168819</v>
      </c>
      <c r="M142" s="3">
        <v>32479.999999997744</v>
      </c>
      <c r="N142" s="3">
        <v>9679.9999999993815</v>
      </c>
      <c r="O142" s="3">
        <f t="shared" si="25"/>
        <v>42159.999999997126</v>
      </c>
      <c r="P142" s="6">
        <f t="shared" si="28"/>
        <v>9.2225042733580204E-2</v>
      </c>
      <c r="Q142" s="6">
        <f t="shared" si="29"/>
        <v>2.7485788597939081E-2</v>
      </c>
      <c r="R142" s="6">
        <f t="shared" si="30"/>
        <v>0.11971083133151929</v>
      </c>
      <c r="S142" s="6">
        <f t="shared" si="27"/>
        <v>0.12873046600672086</v>
      </c>
    </row>
    <row r="143" spans="1:19" x14ac:dyDescent="0.35">
      <c r="A143" s="2">
        <v>45188</v>
      </c>
      <c r="B143" s="3">
        <v>326909</v>
      </c>
      <c r="C143" s="3">
        <v>26253</v>
      </c>
      <c r="D143" s="3">
        <f t="shared" si="20"/>
        <v>353162</v>
      </c>
      <c r="E143" s="4">
        <f t="shared" si="21"/>
        <v>3783.6689814814813</v>
      </c>
      <c r="F143" s="4">
        <f t="shared" si="21"/>
        <v>303.85416666666663</v>
      </c>
      <c r="G143" s="4">
        <f t="shared" si="22"/>
        <v>4087.5231481481478</v>
      </c>
      <c r="H143" s="3">
        <v>328196</v>
      </c>
      <c r="I143" s="4">
        <f t="shared" si="23"/>
        <v>3798.5648148148148</v>
      </c>
      <c r="J143" s="5">
        <f t="shared" si="24"/>
        <v>7.0692769890305304E-2</v>
      </c>
      <c r="K143" s="7">
        <v>63.920224640048957</v>
      </c>
      <c r="L143" s="7">
        <v>28.69351281941141</v>
      </c>
      <c r="M143" s="3">
        <v>33360.000000000582</v>
      </c>
      <c r="N143" s="3">
        <v>9579.9999999999272</v>
      </c>
      <c r="O143" s="3">
        <f t="shared" si="25"/>
        <v>42940.000000000509</v>
      </c>
      <c r="P143" s="6">
        <f t="shared" si="28"/>
        <v>9.4460898964216375E-2</v>
      </c>
      <c r="Q143" s="6">
        <f t="shared" si="29"/>
        <v>2.7126361273296467E-2</v>
      </c>
      <c r="R143" s="6">
        <f t="shared" si="30"/>
        <v>0.12158726023751285</v>
      </c>
      <c r="S143" s="6">
        <f t="shared" si="27"/>
        <v>0.13135153819564621</v>
      </c>
    </row>
    <row r="144" spans="1:19" x14ac:dyDescent="0.35">
      <c r="A144" s="2">
        <v>45189</v>
      </c>
      <c r="B144" s="3">
        <v>326774</v>
      </c>
      <c r="C144" s="3">
        <v>28537</v>
      </c>
      <c r="D144" s="3">
        <f t="shared" si="20"/>
        <v>355311</v>
      </c>
      <c r="E144" s="4">
        <f t="shared" si="21"/>
        <v>3782.1064814814813</v>
      </c>
      <c r="F144" s="4">
        <f t="shared" si="21"/>
        <v>330.28935185185185</v>
      </c>
      <c r="G144" s="4">
        <f t="shared" si="22"/>
        <v>4112.395833333333</v>
      </c>
      <c r="H144" s="3">
        <v>326266</v>
      </c>
      <c r="I144" s="4">
        <f t="shared" si="23"/>
        <v>3776.2268518518517</v>
      </c>
      <c r="J144" s="5">
        <f t="shared" si="24"/>
        <v>8.1745287930854935E-2</v>
      </c>
      <c r="K144" s="7">
        <v>66.528716998976307</v>
      </c>
      <c r="L144" s="7">
        <v>30.495653007149429</v>
      </c>
      <c r="M144" s="3">
        <v>32319.999999999709</v>
      </c>
      <c r="N144" s="3">
        <v>10300.000000001091</v>
      </c>
      <c r="O144" s="3">
        <f t="shared" si="25"/>
        <v>42620.0000000008</v>
      </c>
      <c r="P144" s="6">
        <f t="shared" si="28"/>
        <v>9.0962565189368488E-2</v>
      </c>
      <c r="Q144" s="6">
        <f t="shared" si="29"/>
        <v>2.8988688782506288E-2</v>
      </c>
      <c r="R144" s="6">
        <f t="shared" si="30"/>
        <v>0.11995125397187478</v>
      </c>
      <c r="S144" s="6">
        <f t="shared" si="27"/>
        <v>0.13042653332272702</v>
      </c>
    </row>
    <row r="145" spans="1:19" x14ac:dyDescent="0.35">
      <c r="A145" s="2">
        <v>45190</v>
      </c>
      <c r="B145" s="3">
        <v>326492</v>
      </c>
      <c r="C145" s="3">
        <v>32437</v>
      </c>
      <c r="D145" s="3">
        <f t="shared" si="20"/>
        <v>358929</v>
      </c>
      <c r="E145" s="4">
        <f t="shared" si="21"/>
        <v>3778.8425925925922</v>
      </c>
      <c r="F145" s="4">
        <f t="shared" si="21"/>
        <v>375.4282407407407</v>
      </c>
      <c r="G145" s="4">
        <f t="shared" si="22"/>
        <v>4154.270833333333</v>
      </c>
      <c r="H145" s="3">
        <v>332126</v>
      </c>
      <c r="I145" s="4">
        <f t="shared" si="23"/>
        <v>3844.0509259259256</v>
      </c>
      <c r="J145" s="5">
        <f t="shared" si="24"/>
        <v>7.4674935711519549E-2</v>
      </c>
      <c r="K145" s="7">
        <v>55.83402605907699</v>
      </c>
      <c r="L145" s="7">
        <v>23.705825788605718</v>
      </c>
      <c r="M145" s="3">
        <v>34120.0000000008</v>
      </c>
      <c r="N145" s="3">
        <v>9099.9999999994543</v>
      </c>
      <c r="O145" s="3">
        <f t="shared" si="25"/>
        <v>43220.000000000255</v>
      </c>
      <c r="P145" s="6">
        <f t="shared" si="28"/>
        <v>9.506058301224142E-2</v>
      </c>
      <c r="Q145" s="6">
        <f t="shared" si="29"/>
        <v>2.5353203558362389E-2</v>
      </c>
      <c r="R145" s="6">
        <f t="shared" si="30"/>
        <v>0.12041378657060381</v>
      </c>
      <c r="S145" s="6">
        <f t="shared" si="27"/>
        <v>0.13237690356884779</v>
      </c>
    </row>
    <row r="146" spans="1:19" x14ac:dyDescent="0.35">
      <c r="A146" s="2">
        <v>45191</v>
      </c>
      <c r="B146" s="3">
        <v>325716</v>
      </c>
      <c r="C146" s="3">
        <v>10833</v>
      </c>
      <c r="D146" s="3">
        <f t="shared" si="20"/>
        <v>336549</v>
      </c>
      <c r="E146" s="4">
        <f t="shared" si="21"/>
        <v>3769.8611111111109</v>
      </c>
      <c r="F146" s="4">
        <f t="shared" si="21"/>
        <v>125.38194444444444</v>
      </c>
      <c r="G146" s="4">
        <f t="shared" si="22"/>
        <v>3895.2430555555552</v>
      </c>
      <c r="H146" s="3">
        <v>360774</v>
      </c>
      <c r="I146" s="4">
        <f t="shared" si="23"/>
        <v>4175.625</v>
      </c>
      <c r="J146" s="5">
        <f t="shared" si="24"/>
        <v>-7.1980603121685111E-2</v>
      </c>
      <c r="K146" s="7">
        <v>50.813393791194613</v>
      </c>
      <c r="L146" s="7">
        <v>20.875079298624474</v>
      </c>
      <c r="M146" s="3">
        <v>39319.99999999789</v>
      </c>
      <c r="N146" s="3">
        <v>2500</v>
      </c>
      <c r="O146" s="3">
        <f t="shared" si="25"/>
        <v>41819.99999999789</v>
      </c>
      <c r="P146" s="6">
        <f t="shared" si="28"/>
        <v>0.1168329128893501</v>
      </c>
      <c r="Q146" s="6">
        <f t="shared" si="29"/>
        <v>7.4283388154473794E-3</v>
      </c>
      <c r="R146" s="6">
        <f t="shared" si="30"/>
        <v>0.12426125170479749</v>
      </c>
      <c r="S146" s="6">
        <f t="shared" si="27"/>
        <v>0.12839406108388254</v>
      </c>
    </row>
    <row r="147" spans="1:19" x14ac:dyDescent="0.35">
      <c r="A147" s="2">
        <v>45192</v>
      </c>
      <c r="B147" s="3">
        <v>285640</v>
      </c>
      <c r="C147" s="3">
        <v>4808</v>
      </c>
      <c r="D147" s="3">
        <f t="shared" si="20"/>
        <v>290448</v>
      </c>
      <c r="E147" s="4">
        <f t="shared" si="21"/>
        <v>3306.0185185185182</v>
      </c>
      <c r="F147" s="4">
        <f t="shared" si="21"/>
        <v>55.648148148148145</v>
      </c>
      <c r="G147" s="4">
        <f t="shared" si="22"/>
        <v>3361.6666666666665</v>
      </c>
      <c r="H147" s="3">
        <v>266046</v>
      </c>
      <c r="I147" s="4">
        <f t="shared" si="23"/>
        <v>3079.2361111111109</v>
      </c>
      <c r="J147" s="5">
        <f t="shared" si="24"/>
        <v>8.4015038836555936E-2</v>
      </c>
      <c r="K147" s="7">
        <v>44.67694285641263</v>
      </c>
      <c r="L147" s="7">
        <v>18.867381190572342</v>
      </c>
      <c r="M147" s="3">
        <v>28600.000000000364</v>
      </c>
      <c r="N147" s="3">
        <v>2539.9999999999636</v>
      </c>
      <c r="O147" s="3">
        <f t="shared" si="25"/>
        <v>31140.000000000327</v>
      </c>
      <c r="P147" s="6">
        <f t="shared" si="28"/>
        <v>9.8468572687711267E-2</v>
      </c>
      <c r="Q147" s="6">
        <f t="shared" si="29"/>
        <v>8.7451110009363585E-3</v>
      </c>
      <c r="R147" s="6">
        <f t="shared" si="30"/>
        <v>0.10721368368864763</v>
      </c>
      <c r="S147" s="6">
        <f t="shared" si="27"/>
        <v>0.10901834476964126</v>
      </c>
    </row>
    <row r="148" spans="1:19" x14ac:dyDescent="0.35">
      <c r="A148" s="2">
        <v>45193</v>
      </c>
      <c r="B148" s="3">
        <v>331026</v>
      </c>
      <c r="C148" s="3">
        <v>25580</v>
      </c>
      <c r="D148" s="3">
        <f t="shared" si="20"/>
        <v>356606</v>
      </c>
      <c r="E148" s="4">
        <f t="shared" si="21"/>
        <v>3831.3194444444443</v>
      </c>
      <c r="F148" s="4">
        <f t="shared" si="21"/>
        <v>296.06481481481478</v>
      </c>
      <c r="G148" s="4">
        <f t="shared" si="22"/>
        <v>4127.3842592592591</v>
      </c>
      <c r="H148" s="3">
        <v>330404</v>
      </c>
      <c r="I148" s="4">
        <f t="shared" si="23"/>
        <v>3824.12037037037</v>
      </c>
      <c r="J148" s="5">
        <f t="shared" si="24"/>
        <v>7.3476049197153157E-2</v>
      </c>
      <c r="K148" s="7">
        <v>59.130817613342728</v>
      </c>
      <c r="L148" s="7">
        <v>24.225377006734863</v>
      </c>
      <c r="M148" s="3">
        <v>34160.000000001673</v>
      </c>
      <c r="N148" s="3">
        <v>8880.0000000001091</v>
      </c>
      <c r="O148" s="3">
        <f t="shared" si="25"/>
        <v>43040.000000001783</v>
      </c>
      <c r="P148" s="6">
        <f t="shared" si="28"/>
        <v>9.5791994526176441E-2</v>
      </c>
      <c r="Q148" s="6">
        <f t="shared" si="29"/>
        <v>2.4901431832330664E-2</v>
      </c>
      <c r="R148" s="6">
        <f t="shared" si="30"/>
        <v>0.12069342635850711</v>
      </c>
      <c r="S148" s="6">
        <f t="shared" si="27"/>
        <v>0.13001999842913181</v>
      </c>
    </row>
    <row r="149" spans="1:19" x14ac:dyDescent="0.35">
      <c r="A149" s="2">
        <v>45194</v>
      </c>
      <c r="B149" s="3">
        <v>330967</v>
      </c>
      <c r="C149" s="3">
        <v>25399</v>
      </c>
      <c r="D149" s="3">
        <f t="shared" si="20"/>
        <v>356366</v>
      </c>
      <c r="E149" s="4">
        <f t="shared" si="21"/>
        <v>3830.6365740740739</v>
      </c>
      <c r="F149" s="4">
        <f t="shared" si="21"/>
        <v>293.96990740740739</v>
      </c>
      <c r="G149" s="4">
        <f t="shared" si="22"/>
        <v>4124.6064814814818</v>
      </c>
      <c r="H149" s="3">
        <v>328506</v>
      </c>
      <c r="I149" s="4">
        <f t="shared" si="23"/>
        <v>3802.1527777777774</v>
      </c>
      <c r="J149" s="5">
        <f t="shared" si="24"/>
        <v>7.8178052900669537E-2</v>
      </c>
      <c r="K149" s="7">
        <v>59.708306897438028</v>
      </c>
      <c r="L149" s="7">
        <v>23.574489417656004</v>
      </c>
      <c r="M149" s="3">
        <v>33999.999999998181</v>
      </c>
      <c r="N149" s="3">
        <v>9380.0000000001091</v>
      </c>
      <c r="O149" s="3">
        <f t="shared" si="25"/>
        <v>43379.99999999829</v>
      </c>
      <c r="P149" s="6">
        <f t="shared" si="28"/>
        <v>9.5407530460252049E-2</v>
      </c>
      <c r="Q149" s="6">
        <f t="shared" si="29"/>
        <v>2.6321253991683013E-2</v>
      </c>
      <c r="R149" s="6">
        <f t="shared" si="30"/>
        <v>0.12172878445193507</v>
      </c>
      <c r="S149" s="6">
        <f t="shared" si="27"/>
        <v>0.13107046926128071</v>
      </c>
    </row>
    <row r="150" spans="1:19" x14ac:dyDescent="0.35">
      <c r="A150" s="2">
        <v>45195</v>
      </c>
      <c r="B150" s="3">
        <v>330904</v>
      </c>
      <c r="C150" s="3">
        <v>20908</v>
      </c>
      <c r="D150" s="3">
        <f t="shared" si="20"/>
        <v>351812</v>
      </c>
      <c r="E150" s="4">
        <f t="shared" si="21"/>
        <v>3829.9074074074069</v>
      </c>
      <c r="F150" s="4">
        <f t="shared" si="21"/>
        <v>241.99074074074073</v>
      </c>
      <c r="G150" s="4">
        <f t="shared" si="22"/>
        <v>4071.8981481481478</v>
      </c>
      <c r="H150" s="3">
        <v>327438</v>
      </c>
      <c r="I150" s="4">
        <f t="shared" si="23"/>
        <v>3789.7916666666665</v>
      </c>
      <c r="J150" s="5">
        <f t="shared" si="24"/>
        <v>6.9281320705376737E-2</v>
      </c>
      <c r="K150" s="7">
        <v>53.220983986158281</v>
      </c>
      <c r="L150" s="7">
        <v>18.76258006588267</v>
      </c>
      <c r="M150" s="3">
        <v>33520.000000000437</v>
      </c>
      <c r="N150" s="3">
        <v>8940.0000000005093</v>
      </c>
      <c r="O150" s="3">
        <f t="shared" si="25"/>
        <v>42460.000000000946</v>
      </c>
      <c r="P150" s="6">
        <f t="shared" si="28"/>
        <v>9.5278159926325531E-2</v>
      </c>
      <c r="Q150" s="6">
        <f t="shared" si="29"/>
        <v>2.5411299216628509E-2</v>
      </c>
      <c r="R150" s="6">
        <f t="shared" si="30"/>
        <v>0.12068945914295404</v>
      </c>
      <c r="S150" s="6">
        <f t="shared" si="27"/>
        <v>0.12831516089258801</v>
      </c>
    </row>
    <row r="151" spans="1:19" x14ac:dyDescent="0.35">
      <c r="A151" s="2">
        <v>45196</v>
      </c>
      <c r="B151" s="3">
        <v>330656</v>
      </c>
      <c r="C151" s="3">
        <v>24621</v>
      </c>
      <c r="D151" s="3">
        <f t="shared" si="20"/>
        <v>355277</v>
      </c>
      <c r="E151" s="4">
        <f t="shared" si="21"/>
        <v>3827.037037037037</v>
      </c>
      <c r="F151" s="4">
        <f t="shared" si="21"/>
        <v>284.96527777777777</v>
      </c>
      <c r="G151" s="4">
        <f t="shared" si="22"/>
        <v>4112.0023148148148</v>
      </c>
      <c r="H151" s="3">
        <v>329332</v>
      </c>
      <c r="I151" s="4">
        <f t="shared" si="23"/>
        <v>3811.7129629629626</v>
      </c>
      <c r="J151" s="5">
        <f t="shared" si="24"/>
        <v>7.3027525001618451E-2</v>
      </c>
      <c r="K151" s="7">
        <v>57.82329084627105</v>
      </c>
      <c r="L151" s="7">
        <v>22.244517100714766</v>
      </c>
      <c r="M151" s="3">
        <v>33799.999999999272</v>
      </c>
      <c r="N151" s="3">
        <v>9679.9999999993815</v>
      </c>
      <c r="O151" s="3">
        <f t="shared" si="25"/>
        <v>43479.999999998654</v>
      </c>
      <c r="P151" s="6">
        <f t="shared" si="28"/>
        <v>9.5137033920009662E-2</v>
      </c>
      <c r="Q151" s="6">
        <f t="shared" si="29"/>
        <v>2.7246345809043032E-2</v>
      </c>
      <c r="R151" s="6">
        <f t="shared" si="30"/>
        <v>0.12238337972905269</v>
      </c>
      <c r="S151" s="6">
        <f t="shared" si="27"/>
        <v>0.13149617729603774</v>
      </c>
    </row>
    <row r="152" spans="1:19" x14ac:dyDescent="0.35">
      <c r="A152" s="2">
        <v>45197</v>
      </c>
      <c r="B152" s="3">
        <v>330183</v>
      </c>
      <c r="C152" s="3">
        <v>21697</v>
      </c>
      <c r="D152" s="3">
        <f t="shared" si="20"/>
        <v>351880</v>
      </c>
      <c r="E152" s="4">
        <f t="shared" si="21"/>
        <v>3821.5624999999995</v>
      </c>
      <c r="F152" s="4">
        <f t="shared" si="21"/>
        <v>251.12268518518516</v>
      </c>
      <c r="G152" s="4">
        <f t="shared" si="22"/>
        <v>4072.6851851851848</v>
      </c>
      <c r="H152" s="3">
        <v>322282</v>
      </c>
      <c r="I152" s="4">
        <f t="shared" si="23"/>
        <v>3730.1157407407404</v>
      </c>
      <c r="J152" s="5">
        <f t="shared" si="24"/>
        <v>8.4113902466750032E-2</v>
      </c>
      <c r="K152" s="7">
        <v>55.687696704310909</v>
      </c>
      <c r="L152" s="7">
        <v>19.177249961103001</v>
      </c>
      <c r="M152" s="3">
        <v>33560.00000000131</v>
      </c>
      <c r="N152" s="3">
        <v>8839.999999999236</v>
      </c>
      <c r="O152" s="3">
        <f t="shared" si="25"/>
        <v>42400.000000000546</v>
      </c>
      <c r="P152" s="6">
        <f t="shared" si="28"/>
        <v>9.5373422757762047E-2</v>
      </c>
      <c r="Q152" s="6">
        <f t="shared" si="29"/>
        <v>2.51222007502536E-2</v>
      </c>
      <c r="R152" s="6">
        <f t="shared" si="30"/>
        <v>0.12049562350801564</v>
      </c>
      <c r="S152" s="6">
        <f t="shared" si="27"/>
        <v>0.12841363728599153</v>
      </c>
    </row>
    <row r="153" spans="1:19" x14ac:dyDescent="0.35">
      <c r="A153" s="2">
        <v>45198</v>
      </c>
      <c r="B153" s="3">
        <v>330459</v>
      </c>
      <c r="C153" s="3">
        <v>24428</v>
      </c>
      <c r="D153" s="3">
        <f t="shared" si="20"/>
        <v>354887</v>
      </c>
      <c r="E153" s="4">
        <f t="shared" si="21"/>
        <v>3824.7569444444443</v>
      </c>
      <c r="F153" s="4">
        <f t="shared" si="21"/>
        <v>282.73148148148147</v>
      </c>
      <c r="G153" s="4">
        <f t="shared" si="22"/>
        <v>4107.4884259259261</v>
      </c>
      <c r="H153" s="3">
        <v>326722</v>
      </c>
      <c r="I153" s="4">
        <f t="shared" si="23"/>
        <v>3781.5046296296296</v>
      </c>
      <c r="J153" s="5">
        <f t="shared" si="24"/>
        <v>7.9363290286767335E-2</v>
      </c>
      <c r="K153" s="7">
        <v>58.181595841874177</v>
      </c>
      <c r="L153" s="7">
        <v>21.918018985015511</v>
      </c>
      <c r="M153" s="3">
        <v>33119.999999997162</v>
      </c>
      <c r="N153" s="3">
        <v>10020.000000001801</v>
      </c>
      <c r="O153" s="3">
        <f t="shared" si="25"/>
        <v>43139.999999998967</v>
      </c>
      <c r="P153" s="6">
        <f t="shared" si="28"/>
        <v>9.3325481068613853E-2</v>
      </c>
      <c r="Q153" s="6">
        <f t="shared" si="29"/>
        <v>2.8234339381272913E-2</v>
      </c>
      <c r="R153" s="6">
        <f t="shared" si="30"/>
        <v>0.12155982044988677</v>
      </c>
      <c r="S153" s="6">
        <f t="shared" si="27"/>
        <v>0.13054569553257428</v>
      </c>
    </row>
    <row r="154" spans="1:19" x14ac:dyDescent="0.35">
      <c r="A154" s="2">
        <v>45199</v>
      </c>
      <c r="B154" s="3">
        <v>330215</v>
      </c>
      <c r="C154" s="3">
        <v>26707</v>
      </c>
      <c r="D154" s="3">
        <f t="shared" si="20"/>
        <v>356922</v>
      </c>
      <c r="E154" s="4">
        <f t="shared" si="21"/>
        <v>3821.93287037037</v>
      </c>
      <c r="F154" s="4">
        <f t="shared" si="21"/>
        <v>309.10879629629625</v>
      </c>
      <c r="G154" s="4">
        <f t="shared" si="22"/>
        <v>4131.0416666666661</v>
      </c>
      <c r="H154" s="3">
        <v>326250</v>
      </c>
      <c r="I154" s="4">
        <f t="shared" si="23"/>
        <v>3776.0416666666665</v>
      </c>
      <c r="J154" s="5">
        <f t="shared" si="24"/>
        <v>8.5934742044480303E-2</v>
      </c>
      <c r="K154" s="7">
        <v>63.180194507926082</v>
      </c>
      <c r="L154" s="7">
        <v>26.170696634441114</v>
      </c>
      <c r="M154" s="3">
        <v>32920.000000001892</v>
      </c>
      <c r="N154" s="3">
        <v>8859.9999999996726</v>
      </c>
      <c r="O154" s="3">
        <f t="shared" si="25"/>
        <v>41780.000000001564</v>
      </c>
      <c r="P154" s="6">
        <f t="shared" si="28"/>
        <v>9.2233036910030458E-2</v>
      </c>
      <c r="Q154" s="6">
        <f t="shared" si="29"/>
        <v>2.4823350760109136E-2</v>
      </c>
      <c r="R154" s="6">
        <f t="shared" si="30"/>
        <v>0.11705638767013959</v>
      </c>
      <c r="S154" s="6">
        <f t="shared" si="27"/>
        <v>0.12652362854504356</v>
      </c>
    </row>
    <row r="155" spans="1:19" x14ac:dyDescent="0.35">
      <c r="A155" s="2">
        <v>45200</v>
      </c>
      <c r="B155" s="3">
        <v>329745</v>
      </c>
      <c r="C155" s="3">
        <v>25238</v>
      </c>
      <c r="D155" s="3">
        <f t="shared" si="20"/>
        <v>354983</v>
      </c>
      <c r="E155" s="4">
        <f t="shared" si="21"/>
        <v>3816.4930555555552</v>
      </c>
      <c r="F155" s="4">
        <f t="shared" si="21"/>
        <v>292.10648148148147</v>
      </c>
      <c r="G155" s="4">
        <f t="shared" si="22"/>
        <v>4108.5995370370365</v>
      </c>
      <c r="H155" s="3">
        <v>325662</v>
      </c>
      <c r="I155" s="4">
        <f t="shared" si="23"/>
        <v>3769.2361111111109</v>
      </c>
      <c r="J155" s="5">
        <f t="shared" si="24"/>
        <v>8.2598321609767225E-2</v>
      </c>
      <c r="K155" s="7">
        <v>58.840646182933959</v>
      </c>
      <c r="L155" s="7">
        <v>21.816405585496895</v>
      </c>
      <c r="M155" s="3">
        <v>33920.000000001892</v>
      </c>
      <c r="N155" s="3">
        <v>8560.0000000004002</v>
      </c>
      <c r="O155" s="3">
        <f t="shared" si="25"/>
        <v>42480.000000002292</v>
      </c>
      <c r="P155" s="6">
        <f t="shared" si="28"/>
        <v>9.5553871593856296E-2</v>
      </c>
      <c r="Q155" s="6">
        <f t="shared" si="29"/>
        <v>2.4113830803166349E-2</v>
      </c>
      <c r="R155" s="6">
        <f t="shared" si="30"/>
        <v>0.11966770239702265</v>
      </c>
      <c r="S155" s="6">
        <f t="shared" si="27"/>
        <v>0.1288268207251127</v>
      </c>
    </row>
    <row r="156" spans="1:19" x14ac:dyDescent="0.35">
      <c r="A156" s="8">
        <v>45201</v>
      </c>
      <c r="B156" s="3">
        <v>328384</v>
      </c>
      <c r="C156" s="3">
        <v>26638</v>
      </c>
      <c r="D156" s="3">
        <f t="shared" si="20"/>
        <v>355022</v>
      </c>
      <c r="E156" s="4">
        <f t="shared" si="21"/>
        <v>3800.7407407407404</v>
      </c>
      <c r="F156" s="4">
        <f t="shared" si="21"/>
        <v>308.31018518518516</v>
      </c>
      <c r="G156" s="4">
        <f t="shared" si="22"/>
        <v>4109.0509259259252</v>
      </c>
      <c r="H156" s="3">
        <v>329370</v>
      </c>
      <c r="I156" s="4">
        <f t="shared" si="23"/>
        <v>3812.1527777777774</v>
      </c>
      <c r="J156" s="5">
        <f t="shared" si="24"/>
        <v>7.2254677174935639E-2</v>
      </c>
      <c r="K156" s="7">
        <v>57.189517862430854</v>
      </c>
      <c r="L156" s="7">
        <v>20.31509317889012</v>
      </c>
      <c r="M156" s="3">
        <v>33480.000000001382</v>
      </c>
      <c r="N156" s="3">
        <v>9559.9999999985812</v>
      </c>
      <c r="O156" s="3">
        <f t="shared" si="25"/>
        <v>43039.999999999964</v>
      </c>
      <c r="P156" s="6">
        <f t="shared" si="28"/>
        <v>9.4304014962456925E-2</v>
      </c>
      <c r="Q156" s="6">
        <f t="shared" si="29"/>
        <v>2.6927908692978411E-2</v>
      </c>
      <c r="R156" s="6">
        <f t="shared" si="30"/>
        <v>0.12123192365543534</v>
      </c>
      <c r="S156" s="6">
        <f t="shared" si="27"/>
        <v>0.13106606899239903</v>
      </c>
    </row>
    <row r="157" spans="1:19" x14ac:dyDescent="0.35">
      <c r="A157" s="2">
        <v>45202</v>
      </c>
      <c r="B157" s="3">
        <v>327496</v>
      </c>
      <c r="C157" s="3">
        <v>27300</v>
      </c>
      <c r="D157" s="3">
        <f t="shared" si="20"/>
        <v>354796</v>
      </c>
      <c r="E157" s="4">
        <f t="shared" si="21"/>
        <v>3790.4629629629626</v>
      </c>
      <c r="F157" s="4">
        <f t="shared" si="21"/>
        <v>315.97222222222223</v>
      </c>
      <c r="G157" s="4">
        <f t="shared" si="22"/>
        <v>4106.4351851851852</v>
      </c>
      <c r="H157" s="3">
        <v>329610</v>
      </c>
      <c r="I157" s="4">
        <f t="shared" si="23"/>
        <v>3814.9305555555552</v>
      </c>
      <c r="J157" s="5">
        <f t="shared" si="24"/>
        <v>7.0987271558867637E-2</v>
      </c>
      <c r="K157" s="7">
        <v>60.587799173812513</v>
      </c>
      <c r="L157" s="7">
        <v>23.710720514526614</v>
      </c>
      <c r="M157" s="3">
        <v>33919.999999996435</v>
      </c>
      <c r="N157" s="3">
        <v>9500.0000000004547</v>
      </c>
      <c r="O157" s="3">
        <f t="shared" si="25"/>
        <v>43419.999999996886</v>
      </c>
      <c r="P157" s="6">
        <f t="shared" si="28"/>
        <v>9.5604234546038946E-2</v>
      </c>
      <c r="Q157" s="6">
        <f t="shared" si="29"/>
        <v>2.6775950123452505E-2</v>
      </c>
      <c r="R157" s="6">
        <f t="shared" si="30"/>
        <v>0.12238018466949144</v>
      </c>
      <c r="S157" s="6">
        <f t="shared" si="27"/>
        <v>0.13258177199109877</v>
      </c>
    </row>
    <row r="158" spans="1:19" x14ac:dyDescent="0.35">
      <c r="A158" s="2">
        <v>45203</v>
      </c>
      <c r="B158" s="3">
        <v>327288</v>
      </c>
      <c r="C158" s="3">
        <v>24912</v>
      </c>
      <c r="D158" s="3">
        <f t="shared" si="20"/>
        <v>352200</v>
      </c>
      <c r="E158" s="4">
        <f t="shared" si="21"/>
        <v>3788.0555555555552</v>
      </c>
      <c r="F158" s="4">
        <f t="shared" si="21"/>
        <v>288.33333333333331</v>
      </c>
      <c r="G158" s="4">
        <f t="shared" si="22"/>
        <v>4076.3888888888887</v>
      </c>
      <c r="H158" s="3">
        <v>329216</v>
      </c>
      <c r="I158" s="4">
        <f t="shared" si="23"/>
        <v>3810.37037037037</v>
      </c>
      <c r="J158" s="5">
        <f t="shared" si="24"/>
        <v>6.5258375922771159E-2</v>
      </c>
      <c r="K158" s="7">
        <v>61.089476286326303</v>
      </c>
      <c r="L158" s="7">
        <v>24.496287600806667</v>
      </c>
      <c r="M158" s="3">
        <v>34560.00000000131</v>
      </c>
      <c r="N158" s="3">
        <v>9840.0000000006003</v>
      </c>
      <c r="O158" s="3">
        <f t="shared" si="25"/>
        <v>44400.000000001906</v>
      </c>
      <c r="P158" s="6">
        <f t="shared" si="28"/>
        <v>9.8126064735949203E-2</v>
      </c>
      <c r="Q158" s="6">
        <f t="shared" si="29"/>
        <v>2.793867120954174E-2</v>
      </c>
      <c r="R158" s="6">
        <f t="shared" si="30"/>
        <v>0.12606473594549092</v>
      </c>
      <c r="S158" s="6">
        <f t="shared" si="27"/>
        <v>0.13566033585099946</v>
      </c>
    </row>
    <row r="159" spans="1:19" x14ac:dyDescent="0.35">
      <c r="A159" s="2">
        <v>45204</v>
      </c>
      <c r="B159" s="3">
        <v>326580</v>
      </c>
      <c r="C159" s="3">
        <v>26232</v>
      </c>
      <c r="D159" s="3">
        <f t="shared" si="20"/>
        <v>352812</v>
      </c>
      <c r="E159" s="4">
        <f t="shared" si="21"/>
        <v>3779.8611111111109</v>
      </c>
      <c r="F159" s="4">
        <f t="shared" si="21"/>
        <v>303.61111111111109</v>
      </c>
      <c r="G159" s="4">
        <f t="shared" si="22"/>
        <v>4083.4722222222217</v>
      </c>
      <c r="H159" s="3">
        <v>326262</v>
      </c>
      <c r="I159" s="4">
        <f t="shared" si="23"/>
        <v>3776.1805555555552</v>
      </c>
      <c r="J159" s="5">
        <f t="shared" si="24"/>
        <v>7.5252542430529576E-2</v>
      </c>
      <c r="K159" s="7">
        <v>63.621845005117606</v>
      </c>
      <c r="L159" s="7">
        <v>27.438313832708513</v>
      </c>
      <c r="M159" s="3">
        <v>33320.000000001528</v>
      </c>
      <c r="N159" s="3">
        <v>9819.9999999992542</v>
      </c>
      <c r="O159" s="3">
        <f t="shared" si="25"/>
        <v>43140.000000000786</v>
      </c>
      <c r="P159" s="6">
        <f t="shared" si="28"/>
        <v>9.4441232157640692E-2</v>
      </c>
      <c r="Q159" s="6">
        <f t="shared" si="29"/>
        <v>2.7833520401798279E-2</v>
      </c>
      <c r="R159" s="6">
        <f t="shared" si="30"/>
        <v>0.12227475255943898</v>
      </c>
      <c r="S159" s="6">
        <f t="shared" si="27"/>
        <v>0.1320962704390985</v>
      </c>
    </row>
    <row r="160" spans="1:19" x14ac:dyDescent="0.35">
      <c r="A160" s="2">
        <v>45205</v>
      </c>
      <c r="B160" s="3">
        <v>327565</v>
      </c>
      <c r="C160" s="3">
        <v>27412</v>
      </c>
      <c r="D160" s="3">
        <f t="shared" si="20"/>
        <v>354977</v>
      </c>
      <c r="E160" s="4">
        <f t="shared" si="21"/>
        <v>3791.2615740740739</v>
      </c>
      <c r="F160" s="4">
        <f t="shared" si="21"/>
        <v>317.26851851851848</v>
      </c>
      <c r="G160" s="4">
        <f t="shared" si="22"/>
        <v>4108.5300925925922</v>
      </c>
      <c r="H160" s="3">
        <v>326516</v>
      </c>
      <c r="I160" s="4">
        <f t="shared" si="23"/>
        <v>3779.12037037037</v>
      </c>
      <c r="J160" s="5">
        <f t="shared" si="24"/>
        <v>8.0177025553768266E-2</v>
      </c>
      <c r="K160" s="7">
        <v>62.60961099466099</v>
      </c>
      <c r="L160" s="7">
        <v>26.792529887997738</v>
      </c>
      <c r="M160" s="3">
        <v>33239.999999997963</v>
      </c>
      <c r="N160" s="3">
        <v>10460.000000000946</v>
      </c>
      <c r="O160" s="3">
        <f t="shared" si="25"/>
        <v>43699.999999998909</v>
      </c>
      <c r="P160" s="6">
        <f t="shared" si="28"/>
        <v>9.3639869625350272E-2</v>
      </c>
      <c r="Q160" s="6">
        <f t="shared" si="29"/>
        <v>2.9466697842398089E-2</v>
      </c>
      <c r="R160" s="6">
        <f t="shared" si="30"/>
        <v>0.12310656746774835</v>
      </c>
      <c r="S160" s="6">
        <f t="shared" si="27"/>
        <v>0.13340863645383025</v>
      </c>
    </row>
    <row r="161" spans="1:19" x14ac:dyDescent="0.35">
      <c r="A161" s="2">
        <v>45206</v>
      </c>
      <c r="B161" s="3">
        <v>328545</v>
      </c>
      <c r="C161" s="3">
        <v>25127</v>
      </c>
      <c r="D161" s="3">
        <f t="shared" si="20"/>
        <v>353672</v>
      </c>
      <c r="E161" s="4">
        <f t="shared" si="21"/>
        <v>3802.6041666666665</v>
      </c>
      <c r="F161" s="4">
        <f t="shared" si="21"/>
        <v>290.82175925925924</v>
      </c>
      <c r="G161" s="4">
        <f t="shared" si="22"/>
        <v>4093.4259259259256</v>
      </c>
      <c r="H161" s="3">
        <v>324334</v>
      </c>
      <c r="I161" s="4">
        <f t="shared" si="23"/>
        <v>3753.8657407407404</v>
      </c>
      <c r="J161" s="5">
        <f t="shared" si="24"/>
        <v>8.2952566219548052E-2</v>
      </c>
      <c r="K161" s="7">
        <v>62.776305975100847</v>
      </c>
      <c r="L161" s="7">
        <v>25.80292951329443</v>
      </c>
      <c r="M161" s="3">
        <v>33440.000000002328</v>
      </c>
      <c r="N161" s="3">
        <v>9519.9999999990723</v>
      </c>
      <c r="O161" s="3">
        <f t="shared" si="25"/>
        <v>42960.000000001397</v>
      </c>
      <c r="P161" s="6">
        <f t="shared" si="28"/>
        <v>9.4550883304311134E-2</v>
      </c>
      <c r="Q161" s="6">
        <f t="shared" si="29"/>
        <v>2.6917595964619966E-2</v>
      </c>
      <c r="R161" s="6">
        <f t="shared" si="30"/>
        <v>0.12146847926893109</v>
      </c>
      <c r="S161" s="6">
        <f t="shared" si="27"/>
        <v>0.13075834360590299</v>
      </c>
    </row>
    <row r="162" spans="1:19" x14ac:dyDescent="0.35">
      <c r="A162" s="2">
        <v>45207</v>
      </c>
      <c r="B162" s="3">
        <v>327690</v>
      </c>
      <c r="C162" s="3">
        <v>24838</v>
      </c>
      <c r="D162" s="3">
        <f t="shared" si="20"/>
        <v>352528</v>
      </c>
      <c r="E162" s="4">
        <f t="shared" si="21"/>
        <v>3792.708333333333</v>
      </c>
      <c r="F162" s="4">
        <f t="shared" si="21"/>
        <v>287.47685185185185</v>
      </c>
      <c r="G162" s="4">
        <f t="shared" si="22"/>
        <v>4080.1851851851848</v>
      </c>
      <c r="H162" s="3">
        <v>327162</v>
      </c>
      <c r="I162" s="4">
        <f t="shared" si="23"/>
        <v>3786.5972222222222</v>
      </c>
      <c r="J162" s="5">
        <f t="shared" si="24"/>
        <v>7.1954568147778328E-2</v>
      </c>
      <c r="K162" s="7">
        <v>57.150898381172844</v>
      </c>
      <c r="L162" s="7">
        <v>21.839864931347588</v>
      </c>
      <c r="M162" s="3">
        <v>32199.99999999709</v>
      </c>
      <c r="N162" s="3">
        <v>8880.0000000005639</v>
      </c>
      <c r="O162" s="3">
        <f t="shared" si="25"/>
        <v>41079.999999997657</v>
      </c>
      <c r="P162" s="6">
        <f t="shared" si="28"/>
        <v>9.1340262333763814E-2</v>
      </c>
      <c r="Q162" s="6">
        <f t="shared" si="29"/>
        <v>2.5189488494532529E-2</v>
      </c>
      <c r="R162" s="6">
        <f t="shared" si="30"/>
        <v>0.11652975082829635</v>
      </c>
      <c r="S162" s="6">
        <f t="shared" si="27"/>
        <v>0.12536238518110915</v>
      </c>
    </row>
    <row r="163" spans="1:19" x14ac:dyDescent="0.35">
      <c r="A163" s="2">
        <v>45208</v>
      </c>
      <c r="B163" s="3">
        <v>327819</v>
      </c>
      <c r="C163" s="3">
        <v>24656</v>
      </c>
      <c r="D163" s="3">
        <f t="shared" si="20"/>
        <v>352475</v>
      </c>
      <c r="E163" s="4">
        <f t="shared" si="21"/>
        <v>3794.2013888888887</v>
      </c>
      <c r="F163" s="4">
        <f t="shared" si="21"/>
        <v>285.37037037037032</v>
      </c>
      <c r="G163" s="4">
        <f t="shared" si="22"/>
        <v>4079.5717592592591</v>
      </c>
      <c r="H163" s="3">
        <v>327470</v>
      </c>
      <c r="I163" s="4">
        <f t="shared" si="23"/>
        <v>3790.162037037037</v>
      </c>
      <c r="J163" s="5">
        <f t="shared" si="24"/>
        <v>7.094120150365274E-2</v>
      </c>
      <c r="K163" s="7">
        <v>57.852372514734526</v>
      </c>
      <c r="L163" s="7">
        <v>22.389227610840639</v>
      </c>
      <c r="M163" s="3">
        <v>33800.000000001091</v>
      </c>
      <c r="N163" s="3">
        <v>10299.999999999272</v>
      </c>
      <c r="O163" s="3">
        <f t="shared" si="25"/>
        <v>44100.000000000364</v>
      </c>
      <c r="P163" s="6">
        <f t="shared" si="28"/>
        <v>9.5893325767788043E-2</v>
      </c>
      <c r="Q163" s="6">
        <f t="shared" si="29"/>
        <v>2.9221930633376188E-2</v>
      </c>
      <c r="R163" s="6">
        <f t="shared" si="30"/>
        <v>0.12511525640116425</v>
      </c>
      <c r="S163" s="6">
        <f t="shared" si="27"/>
        <v>0.13452545459537232</v>
      </c>
    </row>
    <row r="164" spans="1:19" x14ac:dyDescent="0.35">
      <c r="A164" s="2">
        <v>45209</v>
      </c>
      <c r="B164" s="3">
        <v>328138</v>
      </c>
      <c r="C164" s="3">
        <v>22563</v>
      </c>
      <c r="D164" s="3">
        <f t="shared" si="20"/>
        <v>350701</v>
      </c>
      <c r="E164" s="4">
        <f t="shared" si="21"/>
        <v>3797.8935185185182</v>
      </c>
      <c r="F164" s="4">
        <f t="shared" si="21"/>
        <v>261.14583333333331</v>
      </c>
      <c r="G164" s="4">
        <f t="shared" si="22"/>
        <v>4059.0393518518517</v>
      </c>
      <c r="H164" s="3">
        <v>326502</v>
      </c>
      <c r="I164" s="4">
        <f t="shared" si="23"/>
        <v>3778.958333333333</v>
      </c>
      <c r="J164" s="5">
        <f t="shared" si="24"/>
        <v>6.9001799253495144E-2</v>
      </c>
      <c r="K164" s="7">
        <v>64.805547954941872</v>
      </c>
      <c r="L164" s="7">
        <v>29.120859288528038</v>
      </c>
      <c r="M164" s="3">
        <v>33320.000000001528</v>
      </c>
      <c r="N164" s="3">
        <v>9960.0000000004911</v>
      </c>
      <c r="O164" s="3">
        <f t="shared" si="25"/>
        <v>43280.000000002023</v>
      </c>
      <c r="P164" s="6">
        <f t="shared" si="28"/>
        <v>9.5009709125441696E-2</v>
      </c>
      <c r="Q164" s="6">
        <f t="shared" si="29"/>
        <v>2.840026119115854E-2</v>
      </c>
      <c r="R164" s="6">
        <f t="shared" si="30"/>
        <v>0.12340997031660024</v>
      </c>
      <c r="S164" s="6">
        <f t="shared" si="27"/>
        <v>0.13189572679787778</v>
      </c>
    </row>
    <row r="165" spans="1:19" x14ac:dyDescent="0.35">
      <c r="A165" s="2">
        <v>45210</v>
      </c>
      <c r="B165" s="3">
        <v>327921</v>
      </c>
      <c r="C165" s="3">
        <v>23057</v>
      </c>
      <c r="D165" s="3">
        <f t="shared" si="20"/>
        <v>350978</v>
      </c>
      <c r="E165" s="4">
        <f t="shared" si="21"/>
        <v>3795.3819444444443</v>
      </c>
      <c r="F165" s="4">
        <f t="shared" si="21"/>
        <v>266.86342592592592</v>
      </c>
      <c r="G165" s="4">
        <f t="shared" si="22"/>
        <v>4062.2453703703704</v>
      </c>
      <c r="H165" s="3">
        <v>327214</v>
      </c>
      <c r="I165" s="4">
        <f t="shared" si="23"/>
        <v>3787.1990740740739</v>
      </c>
      <c r="J165" s="5">
        <f t="shared" si="24"/>
        <v>6.7707947506681326E-2</v>
      </c>
      <c r="K165" s="7">
        <v>62.587388350182714</v>
      </c>
      <c r="L165" s="7">
        <v>25.646132772910065</v>
      </c>
      <c r="M165" s="3">
        <v>33399.999999997817</v>
      </c>
      <c r="N165" s="3">
        <v>10400.000000000091</v>
      </c>
      <c r="O165" s="3">
        <f t="shared" si="25"/>
        <v>43799.999999997905</v>
      </c>
      <c r="P165" s="6">
        <f t="shared" si="28"/>
        <v>9.5162659767842481E-2</v>
      </c>
      <c r="Q165" s="6">
        <f t="shared" si="29"/>
        <v>2.963148687382141E-2</v>
      </c>
      <c r="R165" s="6">
        <f t="shared" si="30"/>
        <v>0.12479414664166388</v>
      </c>
      <c r="S165" s="6">
        <f t="shared" si="27"/>
        <v>0.13356875588936939</v>
      </c>
    </row>
    <row r="166" spans="1:19" x14ac:dyDescent="0.35">
      <c r="A166" s="2">
        <v>45211</v>
      </c>
      <c r="B166" s="3">
        <v>327186</v>
      </c>
      <c r="C166" s="3">
        <v>24646</v>
      </c>
      <c r="D166" s="3">
        <f t="shared" si="20"/>
        <v>351832</v>
      </c>
      <c r="E166" s="4">
        <f t="shared" si="21"/>
        <v>3786.8749999999995</v>
      </c>
      <c r="F166" s="4">
        <f t="shared" si="21"/>
        <v>285.25462962962962</v>
      </c>
      <c r="G166" s="4">
        <f t="shared" si="22"/>
        <v>4072.1296296296291</v>
      </c>
      <c r="H166" s="3">
        <v>325158</v>
      </c>
      <c r="I166" s="4">
        <f t="shared" si="23"/>
        <v>3763.4027777777774</v>
      </c>
      <c r="J166" s="5">
        <f t="shared" si="24"/>
        <v>7.5814593328634119E-2</v>
      </c>
      <c r="K166" s="7">
        <v>60.16045953318708</v>
      </c>
      <c r="L166" s="7">
        <v>23.266851220128572</v>
      </c>
      <c r="M166" s="3">
        <v>33280.000000000655</v>
      </c>
      <c r="N166" s="3">
        <v>10359.999999999218</v>
      </c>
      <c r="O166" s="3">
        <f t="shared" si="25"/>
        <v>43639.999999999869</v>
      </c>
      <c r="P166" s="6">
        <f t="shared" si="28"/>
        <v>9.4590600059120983E-2</v>
      </c>
      <c r="Q166" s="6">
        <f t="shared" si="29"/>
        <v>2.9445871893401449E-2</v>
      </c>
      <c r="R166" s="6">
        <f t="shared" si="30"/>
        <v>0.12403647195252242</v>
      </c>
      <c r="S166" s="6">
        <f t="shared" si="27"/>
        <v>0.13337979008881759</v>
      </c>
    </row>
    <row r="167" spans="1:19" x14ac:dyDescent="0.35">
      <c r="A167" s="2">
        <v>45212</v>
      </c>
      <c r="B167" s="3">
        <v>326553</v>
      </c>
      <c r="C167" s="3">
        <v>16504</v>
      </c>
      <c r="D167" s="3">
        <f t="shared" si="20"/>
        <v>343057</v>
      </c>
      <c r="E167" s="4">
        <f t="shared" si="21"/>
        <v>3779.5486111111109</v>
      </c>
      <c r="F167" s="4">
        <f t="shared" si="21"/>
        <v>191.0185185185185</v>
      </c>
      <c r="G167" s="4">
        <f t="shared" si="22"/>
        <v>3970.5671296296296</v>
      </c>
      <c r="H167" s="3">
        <v>303082</v>
      </c>
      <c r="I167" s="4">
        <f t="shared" si="23"/>
        <v>3507.8935185185182</v>
      </c>
      <c r="J167" s="5">
        <f t="shared" si="24"/>
        <v>0.11652582515442041</v>
      </c>
      <c r="K167" s="7">
        <v>56.631507550778778</v>
      </c>
      <c r="L167" s="7">
        <v>20.099518781099164</v>
      </c>
      <c r="M167" s="3">
        <v>31519.999999998618</v>
      </c>
      <c r="N167" s="3">
        <v>8540.0000000013279</v>
      </c>
      <c r="O167" s="3">
        <f t="shared" si="25"/>
        <v>40059.999999999942</v>
      </c>
      <c r="P167" s="6">
        <f t="shared" si="28"/>
        <v>9.1879775081104939E-2</v>
      </c>
      <c r="Q167" s="6">
        <f t="shared" si="29"/>
        <v>2.489382230941601E-2</v>
      </c>
      <c r="R167" s="6">
        <f t="shared" si="30"/>
        <v>0.11677359739052094</v>
      </c>
      <c r="S167" s="6">
        <f t="shared" si="27"/>
        <v>0.1226753390720647</v>
      </c>
    </row>
    <row r="168" spans="1:19" x14ac:dyDescent="0.35">
      <c r="A168" s="2">
        <v>45213</v>
      </c>
      <c r="B168" s="3">
        <v>325750</v>
      </c>
      <c r="C168" s="3">
        <v>23801</v>
      </c>
      <c r="D168" s="3">
        <f t="shared" si="20"/>
        <v>349551</v>
      </c>
      <c r="E168" s="4">
        <f t="shared" si="21"/>
        <v>3770.2546296296296</v>
      </c>
      <c r="F168" s="4">
        <f t="shared" si="21"/>
        <v>275.47453703703701</v>
      </c>
      <c r="G168" s="4">
        <f t="shared" si="22"/>
        <v>4045.7291666666665</v>
      </c>
      <c r="H168" s="3">
        <v>324524</v>
      </c>
      <c r="I168" s="4">
        <f t="shared" si="23"/>
        <v>3756.0648148148148</v>
      </c>
      <c r="J168" s="5">
        <f t="shared" si="24"/>
        <v>7.159756373175874E-2</v>
      </c>
      <c r="K168" s="7">
        <v>63.759225356165523</v>
      </c>
      <c r="L168" s="7">
        <v>27.111251240800392</v>
      </c>
      <c r="M168" s="3">
        <v>34240.00000000342</v>
      </c>
      <c r="N168" s="3">
        <v>9299.9999999988177</v>
      </c>
      <c r="O168" s="3">
        <f t="shared" si="25"/>
        <v>43540.000000002241</v>
      </c>
      <c r="P168" s="6">
        <f t="shared" si="28"/>
        <v>9.7954232715693618E-2</v>
      </c>
      <c r="Q168" s="6">
        <f t="shared" si="29"/>
        <v>2.6605559703730835E-2</v>
      </c>
      <c r="R168" s="6">
        <f t="shared" si="30"/>
        <v>0.12455979241942447</v>
      </c>
      <c r="S168" s="6">
        <f t="shared" si="27"/>
        <v>0.13366078280890942</v>
      </c>
    </row>
    <row r="169" spans="1:19" x14ac:dyDescent="0.35">
      <c r="A169" s="2">
        <v>45214</v>
      </c>
      <c r="B169" s="3">
        <v>325324</v>
      </c>
      <c r="C169" s="3">
        <v>25451</v>
      </c>
      <c r="D169" s="3">
        <f t="shared" si="20"/>
        <v>350775</v>
      </c>
      <c r="E169" s="4">
        <f t="shared" si="21"/>
        <v>3765.3240740740739</v>
      </c>
      <c r="F169" s="4">
        <f t="shared" si="21"/>
        <v>294.57175925925924</v>
      </c>
      <c r="G169" s="4">
        <f t="shared" si="22"/>
        <v>4059.895833333333</v>
      </c>
      <c r="H169" s="3">
        <v>322438</v>
      </c>
      <c r="I169" s="4">
        <f t="shared" si="23"/>
        <v>3731.9212962962961</v>
      </c>
      <c r="J169" s="5">
        <f t="shared" si="24"/>
        <v>8.0783978333689693E-2</v>
      </c>
      <c r="K169" s="7">
        <v>66.125007607917965</v>
      </c>
      <c r="L169" s="7">
        <v>30.56722390999192</v>
      </c>
      <c r="M169" s="3">
        <v>32319.99999999789</v>
      </c>
      <c r="N169" s="3">
        <v>9059.9999999994907</v>
      </c>
      <c r="O169" s="3">
        <f t="shared" si="25"/>
        <v>41379.999999997381</v>
      </c>
      <c r="P169" s="6">
        <f t="shared" si="28"/>
        <v>9.2138835435814664E-2</v>
      </c>
      <c r="Q169" s="6">
        <f t="shared" si="29"/>
        <v>2.5828522557193333E-2</v>
      </c>
      <c r="R169" s="6">
        <f t="shared" si="30"/>
        <v>0.117967357993008</v>
      </c>
      <c r="S169" s="6">
        <f t="shared" si="27"/>
        <v>0.12719627202418937</v>
      </c>
    </row>
    <row r="170" spans="1:19" x14ac:dyDescent="0.35">
      <c r="A170" s="2">
        <v>45215</v>
      </c>
      <c r="B170" s="3">
        <v>328657</v>
      </c>
      <c r="C170" s="3">
        <v>18290</v>
      </c>
      <c r="D170" s="3">
        <f t="shared" si="20"/>
        <v>346947</v>
      </c>
      <c r="E170" s="4">
        <f t="shared" si="21"/>
        <v>3803.9004629629626</v>
      </c>
      <c r="F170" s="4">
        <f t="shared" si="21"/>
        <v>211.68981481481481</v>
      </c>
      <c r="G170" s="4">
        <f t="shared" si="22"/>
        <v>4015.5902777777774</v>
      </c>
      <c r="H170" s="3">
        <v>322112</v>
      </c>
      <c r="I170" s="4">
        <f t="shared" si="23"/>
        <v>3728.1481481481478</v>
      </c>
      <c r="J170" s="5">
        <f t="shared" si="24"/>
        <v>7.1581538390589922E-2</v>
      </c>
      <c r="K170" s="7">
        <v>61.92074781578296</v>
      </c>
      <c r="L170" s="7">
        <v>24.997713461832646</v>
      </c>
      <c r="M170" s="3">
        <v>32280.000000000655</v>
      </c>
      <c r="N170" s="3">
        <v>9380.0000000014734</v>
      </c>
      <c r="O170" s="3">
        <f t="shared" si="25"/>
        <v>41660.000000002125</v>
      </c>
      <c r="P170" s="6">
        <f t="shared" si="28"/>
        <v>9.3040147342391355E-2</v>
      </c>
      <c r="Q170" s="6">
        <f t="shared" si="29"/>
        <v>2.7035829680041833E-2</v>
      </c>
      <c r="R170" s="6">
        <f t="shared" si="30"/>
        <v>0.12007597702243318</v>
      </c>
      <c r="S170" s="6">
        <f t="shared" si="27"/>
        <v>0.12675829207959097</v>
      </c>
    </row>
    <row r="171" spans="1:19" x14ac:dyDescent="0.35">
      <c r="A171" s="2">
        <v>45216</v>
      </c>
      <c r="B171" s="3">
        <v>331482</v>
      </c>
      <c r="C171" s="3">
        <v>17372</v>
      </c>
      <c r="D171" s="3">
        <f t="shared" si="20"/>
        <v>348854</v>
      </c>
      <c r="E171" s="4">
        <f t="shared" si="21"/>
        <v>3836.5972222222222</v>
      </c>
      <c r="F171" s="4">
        <f t="shared" si="21"/>
        <v>201.06481481481481</v>
      </c>
      <c r="G171" s="4">
        <f t="shared" si="22"/>
        <v>4037.662037037037</v>
      </c>
      <c r="H171" s="3">
        <v>323426</v>
      </c>
      <c r="I171" s="4">
        <f t="shared" si="23"/>
        <v>3743.3564814814813</v>
      </c>
      <c r="J171" s="5">
        <f t="shared" si="24"/>
        <v>7.2890091556926398E-2</v>
      </c>
      <c r="K171" s="7">
        <v>64.391952739336389</v>
      </c>
      <c r="L171" s="7">
        <v>27.522431392297229</v>
      </c>
      <c r="M171" s="3">
        <v>33159.999999999854</v>
      </c>
      <c r="N171" s="3">
        <v>9420.0000000000728</v>
      </c>
      <c r="O171" s="3">
        <f t="shared" si="25"/>
        <v>42579.999999999927</v>
      </c>
      <c r="P171" s="6">
        <f t="shared" si="28"/>
        <v>9.5054091396400364E-2</v>
      </c>
      <c r="Q171" s="6">
        <f t="shared" si="29"/>
        <v>2.700270027002721E-2</v>
      </c>
      <c r="R171" s="6">
        <f t="shared" si="30"/>
        <v>0.12205679166642758</v>
      </c>
      <c r="S171" s="6">
        <f t="shared" si="27"/>
        <v>0.12845343035217577</v>
      </c>
    </row>
    <row r="172" spans="1:19" x14ac:dyDescent="0.35">
      <c r="A172" s="2">
        <v>45217</v>
      </c>
      <c r="B172" s="3">
        <v>330490</v>
      </c>
      <c r="C172" s="3">
        <v>23318</v>
      </c>
      <c r="D172" s="3">
        <f t="shared" si="20"/>
        <v>353808</v>
      </c>
      <c r="E172" s="4">
        <f t="shared" si="21"/>
        <v>3825.1157407407404</v>
      </c>
      <c r="F172" s="4">
        <f t="shared" si="21"/>
        <v>269.88425925925924</v>
      </c>
      <c r="G172" s="4">
        <f t="shared" si="22"/>
        <v>4094.9999999999995</v>
      </c>
      <c r="H172" s="3">
        <v>327262</v>
      </c>
      <c r="I172" s="4">
        <f t="shared" si="23"/>
        <v>3787.7546296296296</v>
      </c>
      <c r="J172" s="5">
        <f t="shared" si="24"/>
        <v>7.5029394473838912E-2</v>
      </c>
      <c r="K172" s="7">
        <v>68.772384625518484</v>
      </c>
      <c r="L172" s="7">
        <v>32.001254521055046</v>
      </c>
      <c r="M172" s="3">
        <v>38959.999999999127</v>
      </c>
      <c r="N172" s="3">
        <v>9360.0000000001273</v>
      </c>
      <c r="O172" s="3">
        <f t="shared" si="25"/>
        <v>48319.999999999258</v>
      </c>
      <c r="P172" s="6">
        <f t="shared" si="28"/>
        <v>0.11011622122732988</v>
      </c>
      <c r="Q172" s="6">
        <f t="shared" si="29"/>
        <v>2.6455026455026814E-2</v>
      </c>
      <c r="R172" s="6">
        <f t="shared" si="30"/>
        <v>0.13657124768235671</v>
      </c>
      <c r="S172" s="6">
        <f t="shared" si="27"/>
        <v>0.14620714696359727</v>
      </c>
    </row>
    <row r="173" spans="1:19" x14ac:dyDescent="0.35">
      <c r="A173" s="2">
        <v>45218</v>
      </c>
      <c r="B173" s="3">
        <v>331048</v>
      </c>
      <c r="C173" s="3">
        <v>16935</v>
      </c>
      <c r="D173" s="3">
        <f t="shared" si="20"/>
        <v>347983</v>
      </c>
      <c r="E173" s="4">
        <f t="shared" si="21"/>
        <v>3831.5740740740739</v>
      </c>
      <c r="F173" s="4">
        <f t="shared" si="21"/>
        <v>196.00694444444443</v>
      </c>
      <c r="G173" s="4">
        <f t="shared" si="22"/>
        <v>4027.5810185185182</v>
      </c>
      <c r="H173" s="3">
        <v>326335</v>
      </c>
      <c r="I173" s="4">
        <f t="shared" si="23"/>
        <v>3777.0254629629626</v>
      </c>
      <c r="J173" s="5">
        <f t="shared" si="24"/>
        <v>6.2209935542828242E-2</v>
      </c>
      <c r="K173" s="7">
        <v>62.161660889321972</v>
      </c>
      <c r="L173" s="7">
        <v>25.199855283875724</v>
      </c>
      <c r="M173" s="3">
        <v>27720.000000001164</v>
      </c>
      <c r="N173" s="3">
        <v>9359.9999999992178</v>
      </c>
      <c r="O173" s="3">
        <f t="shared" si="25"/>
        <v>37080.000000000378</v>
      </c>
      <c r="P173" s="6">
        <f t="shared" si="28"/>
        <v>7.9659063804844388E-2</v>
      </c>
      <c r="Q173" s="6">
        <f t="shared" si="29"/>
        <v>2.6897865700333687E-2</v>
      </c>
      <c r="R173" s="6">
        <f t="shared" si="30"/>
        <v>0.10655692950517806</v>
      </c>
      <c r="S173" s="6">
        <f t="shared" si="27"/>
        <v>0.11200792634300881</v>
      </c>
    </row>
    <row r="174" spans="1:19" x14ac:dyDescent="0.35">
      <c r="A174" s="2">
        <v>45219</v>
      </c>
      <c r="B174" s="3">
        <v>331866</v>
      </c>
      <c r="C174" s="3">
        <v>16872</v>
      </c>
      <c r="D174" s="3">
        <f t="shared" si="20"/>
        <v>348738</v>
      </c>
      <c r="E174" s="4">
        <f t="shared" si="21"/>
        <v>3841.0416666666665</v>
      </c>
      <c r="F174" s="4">
        <f t="shared" si="21"/>
        <v>195.27777777777777</v>
      </c>
      <c r="G174" s="4">
        <f t="shared" si="22"/>
        <v>4036.3194444444443</v>
      </c>
      <c r="H174" s="3">
        <v>321749</v>
      </c>
      <c r="I174" s="4">
        <f t="shared" si="23"/>
        <v>3723.9467592592591</v>
      </c>
      <c r="J174" s="5">
        <f t="shared" si="24"/>
        <v>7.7390476518188436E-2</v>
      </c>
      <c r="K174" s="7">
        <v>61.004280698897858</v>
      </c>
      <c r="L174" s="7">
        <v>24.885566936703892</v>
      </c>
      <c r="M174" s="3">
        <v>31919.999999996435</v>
      </c>
      <c r="N174" s="3">
        <v>9400.0000000005457</v>
      </c>
      <c r="O174" s="3">
        <f t="shared" si="25"/>
        <v>41319.99999999698</v>
      </c>
      <c r="P174" s="6">
        <f t="shared" si="28"/>
        <v>9.1530031140846235E-2</v>
      </c>
      <c r="Q174" s="6">
        <f t="shared" si="29"/>
        <v>2.695433247882521E-2</v>
      </c>
      <c r="R174" s="6">
        <f t="shared" si="30"/>
        <v>0.11848436361967145</v>
      </c>
      <c r="S174" s="6">
        <f t="shared" si="27"/>
        <v>0.12450808458834885</v>
      </c>
    </row>
    <row r="175" spans="1:19" x14ac:dyDescent="0.35">
      <c r="A175" s="2">
        <v>45220</v>
      </c>
      <c r="B175" s="3">
        <v>329620</v>
      </c>
      <c r="C175" s="3">
        <v>21725</v>
      </c>
      <c r="D175" s="3">
        <f t="shared" si="20"/>
        <v>351345</v>
      </c>
      <c r="E175" s="4">
        <f t="shared" si="21"/>
        <v>3815.0462962962961</v>
      </c>
      <c r="F175" s="4">
        <f t="shared" si="21"/>
        <v>251.44675925925924</v>
      </c>
      <c r="G175" s="4">
        <f t="shared" si="22"/>
        <v>4066.4930555555552</v>
      </c>
      <c r="H175" s="3">
        <v>320092</v>
      </c>
      <c r="I175" s="4">
        <f t="shared" si="23"/>
        <v>3704.7685185185182</v>
      </c>
      <c r="J175" s="5">
        <f t="shared" si="24"/>
        <v>8.8952454140517154E-2</v>
      </c>
      <c r="K175" s="7">
        <v>56.417930422853118</v>
      </c>
      <c r="L175" s="7">
        <v>19.641497002710519</v>
      </c>
      <c r="M175" s="3">
        <v>33440.000000002328</v>
      </c>
      <c r="N175" s="3">
        <v>9059.9999999994907</v>
      </c>
      <c r="O175" s="3">
        <f t="shared" si="25"/>
        <v>42500.000000001819</v>
      </c>
      <c r="P175" s="6">
        <f t="shared" si="28"/>
        <v>9.5177105124599259E-2</v>
      </c>
      <c r="Q175" s="6">
        <f t="shared" si="29"/>
        <v>2.5786619988898349E-2</v>
      </c>
      <c r="R175" s="6">
        <f t="shared" si="30"/>
        <v>0.12096372511349761</v>
      </c>
      <c r="S175" s="6">
        <f t="shared" si="27"/>
        <v>0.12893635094958383</v>
      </c>
    </row>
    <row r="176" spans="1:19" x14ac:dyDescent="0.35">
      <c r="A176" s="2">
        <v>45221</v>
      </c>
      <c r="B176" s="3">
        <v>329963</v>
      </c>
      <c r="C176" s="3">
        <v>25009</v>
      </c>
      <c r="D176" s="3">
        <f t="shared" si="20"/>
        <v>354972</v>
      </c>
      <c r="E176" s="4">
        <f t="shared" si="21"/>
        <v>3819.0162037037035</v>
      </c>
      <c r="F176" s="4">
        <f t="shared" si="21"/>
        <v>289.45601851851848</v>
      </c>
      <c r="G176" s="4">
        <f t="shared" si="22"/>
        <v>4108.4722222222217</v>
      </c>
      <c r="H176" s="3">
        <v>325750</v>
      </c>
      <c r="I176" s="4">
        <f t="shared" si="23"/>
        <v>3770.2546296296296</v>
      </c>
      <c r="J176" s="5">
        <f t="shared" si="24"/>
        <v>8.2321985959455959E-2</v>
      </c>
      <c r="K176" s="7">
        <v>58.552655568557775</v>
      </c>
      <c r="L176" s="7">
        <v>22.151992981086089</v>
      </c>
      <c r="M176" s="3">
        <v>32599.999999998545</v>
      </c>
      <c r="N176" s="3">
        <v>9179.9999999993815</v>
      </c>
      <c r="O176" s="3">
        <f t="shared" si="25"/>
        <v>41779.999999997926</v>
      </c>
      <c r="P176" s="6">
        <f t="shared" si="28"/>
        <v>9.1838229494153184E-2</v>
      </c>
      <c r="Q176" s="6">
        <f t="shared" si="29"/>
        <v>2.586119468577629E-2</v>
      </c>
      <c r="R176" s="6">
        <f t="shared" si="30"/>
        <v>0.11769942417992947</v>
      </c>
      <c r="S176" s="6">
        <f t="shared" si="27"/>
        <v>0.12662025742279567</v>
      </c>
    </row>
    <row r="177" spans="1:19" x14ac:dyDescent="0.35">
      <c r="A177" s="2">
        <v>45222</v>
      </c>
      <c r="B177" s="3">
        <v>327251</v>
      </c>
      <c r="C177" s="3">
        <v>23988</v>
      </c>
      <c r="D177" s="3">
        <f t="shared" si="20"/>
        <v>351239</v>
      </c>
      <c r="E177" s="4">
        <f t="shared" si="21"/>
        <v>3787.6273148148148</v>
      </c>
      <c r="F177" s="4">
        <f t="shared" si="21"/>
        <v>277.63888888888886</v>
      </c>
      <c r="G177" s="4">
        <f t="shared" si="22"/>
        <v>4065.2662037037035</v>
      </c>
      <c r="H177" s="3">
        <v>324665</v>
      </c>
      <c r="I177" s="4">
        <f t="shared" si="23"/>
        <v>3757.6967592592591</v>
      </c>
      <c r="J177" s="5">
        <f t="shared" si="24"/>
        <v>7.5657885371499173E-2</v>
      </c>
      <c r="K177" s="7">
        <v>60.512724090021003</v>
      </c>
      <c r="L177" s="7">
        <v>23.725191953783284</v>
      </c>
      <c r="M177" s="3">
        <v>33520.000000002256</v>
      </c>
      <c r="N177" s="3">
        <v>9760.0000000011278</v>
      </c>
      <c r="O177" s="3">
        <f t="shared" si="25"/>
        <v>43280.000000003383</v>
      </c>
      <c r="P177" s="6">
        <f t="shared" si="28"/>
        <v>9.5433593649914314E-2</v>
      </c>
      <c r="Q177" s="6">
        <f t="shared" si="29"/>
        <v>2.7787347077064699E-2</v>
      </c>
      <c r="R177" s="6">
        <f t="shared" si="30"/>
        <v>0.12322094072697902</v>
      </c>
      <c r="S177" s="6">
        <f t="shared" si="27"/>
        <v>0.13225322458908723</v>
      </c>
    </row>
    <row r="178" spans="1:19" x14ac:dyDescent="0.35">
      <c r="A178" s="2">
        <v>45223</v>
      </c>
      <c r="B178" s="3">
        <v>325203</v>
      </c>
      <c r="C178" s="3">
        <v>23331</v>
      </c>
      <c r="D178" s="3">
        <f t="shared" si="20"/>
        <v>348534</v>
      </c>
      <c r="E178" s="4">
        <f t="shared" si="21"/>
        <v>3763.9236111111109</v>
      </c>
      <c r="F178" s="4">
        <f t="shared" si="21"/>
        <v>270.03472222222223</v>
      </c>
      <c r="G178" s="4">
        <f t="shared" si="22"/>
        <v>4033.958333333333</v>
      </c>
      <c r="H178" s="3">
        <v>321315</v>
      </c>
      <c r="I178" s="4">
        <f t="shared" si="23"/>
        <v>3718.9236111111109</v>
      </c>
      <c r="J178" s="5">
        <f t="shared" si="24"/>
        <v>7.809568076572157E-2</v>
      </c>
      <c r="K178" s="7">
        <v>63.578821812190817</v>
      </c>
      <c r="L178" s="7">
        <v>27.417758616060741</v>
      </c>
      <c r="M178" s="3">
        <v>33119.999999998981</v>
      </c>
      <c r="N178" s="3">
        <v>10359.999999998763</v>
      </c>
      <c r="O178" s="3">
        <f t="shared" si="25"/>
        <v>43479.999999997744</v>
      </c>
      <c r="P178" s="6">
        <f t="shared" si="28"/>
        <v>9.5026597118212236E-2</v>
      </c>
      <c r="Q178" s="6">
        <f t="shared" si="29"/>
        <v>2.9724503204848776E-2</v>
      </c>
      <c r="R178" s="6">
        <f t="shared" si="30"/>
        <v>0.12475110032306101</v>
      </c>
      <c r="S178" s="6">
        <f t="shared" si="27"/>
        <v>0.13370110361834836</v>
      </c>
    </row>
    <row r="179" spans="1:19" x14ac:dyDescent="0.35">
      <c r="A179" s="2">
        <v>45224</v>
      </c>
      <c r="B179" s="3">
        <v>332725</v>
      </c>
      <c r="C179" s="3">
        <v>20872</v>
      </c>
      <c r="D179" s="3">
        <f t="shared" si="20"/>
        <v>353597</v>
      </c>
      <c r="E179" s="4">
        <f t="shared" si="21"/>
        <v>3850.9837962962961</v>
      </c>
      <c r="F179" s="4">
        <f t="shared" si="21"/>
        <v>241.57407407407405</v>
      </c>
      <c r="G179" s="4">
        <f t="shared" si="22"/>
        <v>4092.55787037037</v>
      </c>
      <c r="H179" s="3">
        <v>326752</v>
      </c>
      <c r="I179" s="4">
        <f t="shared" si="23"/>
        <v>3781.8518518518517</v>
      </c>
      <c r="J179" s="5">
        <f t="shared" si="24"/>
        <v>7.591976176268464E-2</v>
      </c>
      <c r="K179" s="7">
        <v>59.050892982866543</v>
      </c>
      <c r="L179" s="7">
        <v>21.421614453919751</v>
      </c>
      <c r="M179" s="3">
        <v>33639.999999999418</v>
      </c>
      <c r="N179" s="3">
        <v>10000</v>
      </c>
      <c r="O179" s="3">
        <f t="shared" si="25"/>
        <v>43639.999999999418</v>
      </c>
      <c r="P179" s="6">
        <f t="shared" si="28"/>
        <v>9.5136553760352655E-2</v>
      </c>
      <c r="Q179" s="6">
        <f t="shared" si="29"/>
        <v>2.8280782925194502E-2</v>
      </c>
      <c r="R179" s="6">
        <f t="shared" si="30"/>
        <v>0.12341733668554716</v>
      </c>
      <c r="S179" s="6">
        <f t="shared" si="27"/>
        <v>0.13115936584266111</v>
      </c>
    </row>
    <row r="180" spans="1:19" x14ac:dyDescent="0.35">
      <c r="A180" s="2">
        <v>45225</v>
      </c>
      <c r="B180" s="3">
        <v>333452</v>
      </c>
      <c r="C180" s="3">
        <v>25451</v>
      </c>
      <c r="D180" s="3">
        <f t="shared" si="20"/>
        <v>358903</v>
      </c>
      <c r="E180" s="4">
        <f t="shared" si="21"/>
        <v>3859.3981481481478</v>
      </c>
      <c r="F180" s="4">
        <f t="shared" si="21"/>
        <v>294.57175925925924</v>
      </c>
      <c r="G180" s="4">
        <f t="shared" si="22"/>
        <v>4153.9699074074069</v>
      </c>
      <c r="H180" s="3">
        <v>328872</v>
      </c>
      <c r="I180" s="4">
        <f t="shared" si="23"/>
        <v>3806.3888888888887</v>
      </c>
      <c r="J180" s="5">
        <f t="shared" si="24"/>
        <v>8.3674418993432767E-2</v>
      </c>
      <c r="K180" s="7">
        <v>60.398432155240833</v>
      </c>
      <c r="L180" s="7">
        <v>23.40784695534002</v>
      </c>
      <c r="M180" s="3">
        <v>34200.000000002547</v>
      </c>
      <c r="N180" s="3">
        <v>10480.000000000928</v>
      </c>
      <c r="O180" s="3">
        <f t="shared" si="25"/>
        <v>44680.000000003478</v>
      </c>
      <c r="P180" s="6">
        <f t="shared" si="28"/>
        <v>9.5290370935886701E-2</v>
      </c>
      <c r="Q180" s="6">
        <f t="shared" si="29"/>
        <v>2.920009027509084E-2</v>
      </c>
      <c r="R180" s="6">
        <f t="shared" si="30"/>
        <v>0.12449046121097755</v>
      </c>
      <c r="S180" s="6">
        <f t="shared" si="27"/>
        <v>0.13399229874165841</v>
      </c>
    </row>
    <row r="181" spans="1:19" x14ac:dyDescent="0.35">
      <c r="A181" s="2">
        <v>45226</v>
      </c>
      <c r="B181" s="3">
        <v>336634</v>
      </c>
      <c r="C181" s="3">
        <v>20305</v>
      </c>
      <c r="D181" s="3">
        <f t="shared" si="20"/>
        <v>356939</v>
      </c>
      <c r="E181" s="4">
        <f t="shared" si="21"/>
        <v>3896.2268518518517</v>
      </c>
      <c r="F181" s="4">
        <f t="shared" si="21"/>
        <v>235.01157407407405</v>
      </c>
      <c r="G181" s="4">
        <f t="shared" si="22"/>
        <v>4131.2384259259261</v>
      </c>
      <c r="H181" s="3">
        <v>330610</v>
      </c>
      <c r="I181" s="4">
        <f t="shared" si="23"/>
        <v>3826.5046296296296</v>
      </c>
      <c r="J181" s="5">
        <f t="shared" si="24"/>
        <v>7.3763304093976842E-2</v>
      </c>
      <c r="K181" s="7">
        <v>55.686985483622784</v>
      </c>
      <c r="L181" s="7">
        <v>19.983943787422586</v>
      </c>
      <c r="M181" s="3">
        <v>33479.999999999563</v>
      </c>
      <c r="N181" s="3">
        <v>9480.0000000004729</v>
      </c>
      <c r="O181" s="3">
        <f t="shared" si="25"/>
        <v>42960.000000000036</v>
      </c>
      <c r="P181" s="6">
        <f t="shared" si="28"/>
        <v>9.379753963562279E-2</v>
      </c>
      <c r="Q181" s="6">
        <f t="shared" si="29"/>
        <v>2.655915996851135E-2</v>
      </c>
      <c r="R181" s="6">
        <f t="shared" si="30"/>
        <v>0.12035669960413414</v>
      </c>
      <c r="S181" s="6">
        <f t="shared" si="27"/>
        <v>0.12761634297189242</v>
      </c>
    </row>
    <row r="182" spans="1:19" x14ac:dyDescent="0.35">
      <c r="A182" s="2">
        <v>45227</v>
      </c>
      <c r="B182" s="3">
        <v>336574</v>
      </c>
      <c r="C182" s="3">
        <v>16127</v>
      </c>
      <c r="D182" s="3">
        <f t="shared" si="20"/>
        <v>352701</v>
      </c>
      <c r="E182" s="4">
        <f t="shared" si="21"/>
        <v>3895.5324074074069</v>
      </c>
      <c r="F182" s="4">
        <f t="shared" si="21"/>
        <v>186.65509259259258</v>
      </c>
      <c r="G182" s="4">
        <f t="shared" si="22"/>
        <v>4082.1874999999995</v>
      </c>
      <c r="H182" s="3">
        <v>324752</v>
      </c>
      <c r="I182" s="4">
        <f t="shared" si="23"/>
        <v>3758.7037037037035</v>
      </c>
      <c r="J182" s="5">
        <f t="shared" si="24"/>
        <v>7.9242758030172861E-2</v>
      </c>
      <c r="K182" s="7">
        <v>52.895771560895646</v>
      </c>
      <c r="L182" s="7">
        <v>17.078101636512105</v>
      </c>
      <c r="M182" s="3">
        <v>32920.000000000073</v>
      </c>
      <c r="N182" s="3">
        <v>7859.9999999992178</v>
      </c>
      <c r="O182" s="3">
        <f t="shared" si="25"/>
        <v>40779.999999999287</v>
      </c>
      <c r="P182" s="6">
        <f t="shared" si="28"/>
        <v>9.3336849059118265E-2</v>
      </c>
      <c r="Q182" s="6">
        <f t="shared" si="29"/>
        <v>2.2285165054817587E-2</v>
      </c>
      <c r="R182" s="6">
        <f t="shared" si="30"/>
        <v>0.11562201411393584</v>
      </c>
      <c r="S182" s="6">
        <f t="shared" si="27"/>
        <v>0.12116206242906251</v>
      </c>
    </row>
    <row r="183" spans="1:19" x14ac:dyDescent="0.35">
      <c r="A183" s="2">
        <v>45228</v>
      </c>
      <c r="B183" s="3">
        <v>335263</v>
      </c>
      <c r="C183" s="3">
        <v>19438</v>
      </c>
      <c r="D183" s="3">
        <f t="shared" si="20"/>
        <v>354701</v>
      </c>
      <c r="E183" s="4">
        <f t="shared" si="21"/>
        <v>3880.3587962962961</v>
      </c>
      <c r="F183" s="4">
        <f t="shared" si="21"/>
        <v>224.97685185185185</v>
      </c>
      <c r="G183" s="4">
        <f t="shared" si="22"/>
        <v>4105.3356481481478</v>
      </c>
      <c r="H183" s="3">
        <v>327354</v>
      </c>
      <c r="I183" s="4">
        <f t="shared" si="23"/>
        <v>3788.8194444444443</v>
      </c>
      <c r="J183" s="5">
        <f t="shared" si="24"/>
        <v>7.7098739501721164E-2</v>
      </c>
      <c r="K183" s="7">
        <v>59.462380387546034</v>
      </c>
      <c r="L183" s="7">
        <v>25.951519126934986</v>
      </c>
      <c r="M183" s="3">
        <v>32839.999999998327</v>
      </c>
      <c r="N183" s="3">
        <v>7880.0000000005639</v>
      </c>
      <c r="O183" s="3">
        <f t="shared" si="25"/>
        <v>40719.999999998894</v>
      </c>
      <c r="P183" s="6">
        <f t="shared" si="28"/>
        <v>9.2585022314564461E-2</v>
      </c>
      <c r="Q183" s="6">
        <f t="shared" si="29"/>
        <v>2.221589451397251E-2</v>
      </c>
      <c r="R183" s="6">
        <f t="shared" si="30"/>
        <v>0.11480091682853698</v>
      </c>
      <c r="S183" s="6">
        <f t="shared" si="27"/>
        <v>0.12145688608644227</v>
      </c>
    </row>
    <row r="184" spans="1:19" x14ac:dyDescent="0.35">
      <c r="A184" s="2">
        <v>45229</v>
      </c>
      <c r="B184" s="3">
        <v>332071</v>
      </c>
      <c r="C184" s="3">
        <v>20942</v>
      </c>
      <c r="D184" s="3">
        <f t="shared" si="20"/>
        <v>353013</v>
      </c>
      <c r="E184" s="4">
        <f t="shared" si="21"/>
        <v>3843.4143518518517</v>
      </c>
      <c r="F184" s="4">
        <f t="shared" si="21"/>
        <v>242.38425925925924</v>
      </c>
      <c r="G184" s="4">
        <f t="shared" si="22"/>
        <v>4085.7986111111109</v>
      </c>
      <c r="H184" s="3">
        <v>330474</v>
      </c>
      <c r="I184" s="4">
        <f t="shared" si="23"/>
        <v>3824.9305555555552</v>
      </c>
      <c r="J184" s="5">
        <f t="shared" si="24"/>
        <v>6.3847507032318923E-2</v>
      </c>
      <c r="K184" s="7">
        <v>58.436117377990179</v>
      </c>
      <c r="L184" s="7">
        <v>21.938152713799333</v>
      </c>
      <c r="M184" s="3">
        <v>33920.000000000073</v>
      </c>
      <c r="N184" s="3">
        <v>9399.9999999991815</v>
      </c>
      <c r="O184" s="3">
        <f t="shared" si="25"/>
        <v>43319.999999999258</v>
      </c>
      <c r="P184" s="6">
        <f t="shared" si="28"/>
        <v>9.6087112939183747E-2</v>
      </c>
      <c r="Q184" s="6">
        <f t="shared" si="29"/>
        <v>2.6627914552719536E-2</v>
      </c>
      <c r="R184" s="6">
        <f t="shared" si="30"/>
        <v>0.1227150274919033</v>
      </c>
      <c r="S184" s="6">
        <f t="shared" si="27"/>
        <v>0.13045402940937106</v>
      </c>
    </row>
    <row r="185" spans="1:19" x14ac:dyDescent="0.35">
      <c r="A185" s="2">
        <v>45230</v>
      </c>
      <c r="B185" s="3">
        <v>332381</v>
      </c>
      <c r="C185" s="3">
        <v>19369</v>
      </c>
      <c r="D185" s="3">
        <f t="shared" si="20"/>
        <v>351750</v>
      </c>
      <c r="E185" s="4">
        <f t="shared" si="21"/>
        <v>3847.0023148148148</v>
      </c>
      <c r="F185" s="4">
        <f t="shared" si="21"/>
        <v>224.17824074074073</v>
      </c>
      <c r="G185" s="4">
        <f t="shared" si="22"/>
        <v>4071.1805555555557</v>
      </c>
      <c r="H185" s="3">
        <v>325806</v>
      </c>
      <c r="I185" s="4">
        <f t="shared" si="23"/>
        <v>3770.9027777777774</v>
      </c>
      <c r="J185" s="5">
        <f t="shared" si="24"/>
        <v>7.3756929637526655E-2</v>
      </c>
      <c r="K185" s="7">
        <v>58.465314013866916</v>
      </c>
      <c r="L185" s="7">
        <v>21.92035878998632</v>
      </c>
      <c r="M185" s="3">
        <v>33200.000000000728</v>
      </c>
      <c r="N185" s="3">
        <v>9559.9999999994907</v>
      </c>
      <c r="O185" s="3">
        <f t="shared" si="25"/>
        <v>42760.000000000218</v>
      </c>
      <c r="P185" s="6">
        <f t="shared" si="28"/>
        <v>9.4385216773278546E-2</v>
      </c>
      <c r="Q185" s="6">
        <f t="shared" si="29"/>
        <v>2.7178393745556476E-2</v>
      </c>
      <c r="R185" s="6">
        <f t="shared" si="30"/>
        <v>0.12156361051883502</v>
      </c>
      <c r="S185" s="6">
        <f t="shared" si="27"/>
        <v>0.12864754603903417</v>
      </c>
    </row>
    <row r="186" spans="1:19" x14ac:dyDescent="0.35">
      <c r="A186" s="2">
        <v>45231</v>
      </c>
      <c r="B186" s="3">
        <v>331399</v>
      </c>
      <c r="C186" s="3">
        <v>22766</v>
      </c>
      <c r="D186" s="3">
        <f t="shared" si="20"/>
        <v>354165</v>
      </c>
      <c r="E186" s="4">
        <f t="shared" si="21"/>
        <v>3835.6365740740739</v>
      </c>
      <c r="F186" s="4">
        <f t="shared" si="21"/>
        <v>263.49537037037038</v>
      </c>
      <c r="G186" s="4">
        <f t="shared" si="22"/>
        <v>4099.1319444444443</v>
      </c>
      <c r="H186" s="3">
        <v>326368</v>
      </c>
      <c r="I186" s="4">
        <f t="shared" si="23"/>
        <v>3777.4074074074069</v>
      </c>
      <c r="J186" s="5">
        <f t="shared" si="24"/>
        <v>7.8486016404783088E-2</v>
      </c>
      <c r="K186" s="7">
        <v>56.553519724489448</v>
      </c>
      <c r="L186" s="7">
        <v>19.756840210703498</v>
      </c>
      <c r="M186" s="3">
        <v>32959.999999999127</v>
      </c>
      <c r="N186" s="3">
        <v>10139.999999999873</v>
      </c>
      <c r="O186" s="3">
        <f t="shared" si="25"/>
        <v>43099.999999998996</v>
      </c>
      <c r="P186" s="6">
        <f t="shared" si="28"/>
        <v>9.306396735984393E-2</v>
      </c>
      <c r="Q186" s="6">
        <f t="shared" si="29"/>
        <v>2.8630722968107727E-2</v>
      </c>
      <c r="R186" s="6">
        <f t="shared" si="30"/>
        <v>0.12169469032795165</v>
      </c>
      <c r="S186" s="6">
        <f t="shared" si="27"/>
        <v>0.13005470746743047</v>
      </c>
    </row>
    <row r="187" spans="1:19" x14ac:dyDescent="0.35">
      <c r="A187" s="2">
        <v>45232</v>
      </c>
      <c r="B187" s="3">
        <v>331234</v>
      </c>
      <c r="C187" s="3">
        <v>25605</v>
      </c>
      <c r="D187" s="3">
        <f t="shared" si="20"/>
        <v>356839</v>
      </c>
      <c r="E187" s="4">
        <f t="shared" si="21"/>
        <v>3833.7268518518517</v>
      </c>
      <c r="F187" s="4">
        <f t="shared" si="21"/>
        <v>296.35416666666663</v>
      </c>
      <c r="G187" s="4">
        <f t="shared" si="22"/>
        <v>4130.0810185185182</v>
      </c>
      <c r="H187" s="3">
        <v>329336</v>
      </c>
      <c r="I187" s="4">
        <f t="shared" si="23"/>
        <v>3811.7592592592591</v>
      </c>
      <c r="J187" s="5">
        <f t="shared" si="24"/>
        <v>7.7073974537536533E-2</v>
      </c>
      <c r="K187" s="7">
        <v>56.237247364725597</v>
      </c>
      <c r="L187" s="7">
        <v>19.799167446331026</v>
      </c>
      <c r="M187" s="3">
        <v>34520.000000002256</v>
      </c>
      <c r="N187" s="3">
        <v>8440.0000000009641</v>
      </c>
      <c r="O187" s="3">
        <f t="shared" si="25"/>
        <v>42960.000000003216</v>
      </c>
      <c r="P187" s="6">
        <f t="shared" si="28"/>
        <v>9.6738304949857648E-2</v>
      </c>
      <c r="Q187" s="6">
        <f t="shared" si="29"/>
        <v>2.3652123226443757E-2</v>
      </c>
      <c r="R187" s="6">
        <f t="shared" si="30"/>
        <v>0.1203904281763014</v>
      </c>
      <c r="S187" s="6">
        <f t="shared" si="27"/>
        <v>0.12969683063937645</v>
      </c>
    </row>
    <row r="188" spans="1:19" x14ac:dyDescent="0.35">
      <c r="A188" s="2">
        <v>45233</v>
      </c>
      <c r="B188" s="3">
        <v>330825</v>
      </c>
      <c r="C188" s="3">
        <v>27408</v>
      </c>
      <c r="D188" s="3">
        <f t="shared" si="20"/>
        <v>358233</v>
      </c>
      <c r="E188" s="4">
        <f t="shared" si="21"/>
        <v>3828.9930555555552</v>
      </c>
      <c r="F188" s="4">
        <f t="shared" si="21"/>
        <v>317.22222222222223</v>
      </c>
      <c r="G188" s="4">
        <f t="shared" si="22"/>
        <v>4146.2152777777774</v>
      </c>
      <c r="H188" s="3">
        <v>329746</v>
      </c>
      <c r="I188" s="4">
        <f t="shared" si="23"/>
        <v>3816.5046296296296</v>
      </c>
      <c r="J188" s="5">
        <f t="shared" si="24"/>
        <v>7.9520870494901363E-2</v>
      </c>
      <c r="K188" s="7">
        <v>51.738017763930451</v>
      </c>
      <c r="L188" s="7">
        <v>16.3086782277068</v>
      </c>
      <c r="M188" s="3">
        <v>34399.999999995998</v>
      </c>
      <c r="N188" s="3">
        <v>9200.0000000002728</v>
      </c>
      <c r="O188" s="3">
        <f t="shared" si="25"/>
        <v>43599.999999996275</v>
      </c>
      <c r="P188" s="6">
        <f t="shared" si="28"/>
        <v>9.6026887528496807E-2</v>
      </c>
      <c r="Q188" s="6">
        <f t="shared" si="29"/>
        <v>2.5681609455299407E-2</v>
      </c>
      <c r="R188" s="6">
        <f t="shared" si="30"/>
        <v>0.12170849698379622</v>
      </c>
      <c r="S188" s="6">
        <f t="shared" si="27"/>
        <v>0.13179173278922776</v>
      </c>
    </row>
    <row r="189" spans="1:19" x14ac:dyDescent="0.35">
      <c r="A189" s="2">
        <v>45234</v>
      </c>
      <c r="B189" s="3">
        <v>330082</v>
      </c>
      <c r="C189" s="3">
        <v>21867</v>
      </c>
      <c r="D189" s="3">
        <f t="shared" si="20"/>
        <v>351949</v>
      </c>
      <c r="E189" s="4">
        <f t="shared" si="21"/>
        <v>3820.3935185185182</v>
      </c>
      <c r="F189" s="4">
        <f t="shared" si="21"/>
        <v>253.09027777777777</v>
      </c>
      <c r="G189" s="4">
        <f t="shared" si="22"/>
        <v>4073.4837962962961</v>
      </c>
      <c r="H189" s="3">
        <v>326724</v>
      </c>
      <c r="I189" s="4">
        <f t="shared" si="23"/>
        <v>3781.5277777777774</v>
      </c>
      <c r="J189" s="5">
        <f t="shared" si="24"/>
        <v>7.1672316159443555E-2</v>
      </c>
      <c r="K189" s="7">
        <v>55.597417049705562</v>
      </c>
      <c r="L189" s="7">
        <v>21.200218234649927</v>
      </c>
      <c r="M189" s="3">
        <v>33040.000000004511</v>
      </c>
      <c r="N189" s="3">
        <v>6940.0000000005093</v>
      </c>
      <c r="O189" s="3">
        <f t="shared" si="25"/>
        <v>39980.00000000502</v>
      </c>
      <c r="P189" s="6">
        <f t="shared" si="28"/>
        <v>9.387723789527605E-2</v>
      </c>
      <c r="Q189" s="6">
        <f t="shared" si="29"/>
        <v>1.9718766071221992E-2</v>
      </c>
      <c r="R189" s="6">
        <f t="shared" si="30"/>
        <v>0.11359600396649805</v>
      </c>
      <c r="S189" s="6">
        <f t="shared" si="27"/>
        <v>0.12112141831425227</v>
      </c>
    </row>
    <row r="190" spans="1:19" x14ac:dyDescent="0.35">
      <c r="A190" s="2">
        <v>45235</v>
      </c>
      <c r="B190" s="3">
        <v>290870</v>
      </c>
      <c r="C190" s="3">
        <v>23242</v>
      </c>
      <c r="D190" s="3">
        <f t="shared" si="20"/>
        <v>314112</v>
      </c>
      <c r="E190" s="4">
        <f t="shared" si="21"/>
        <v>3366.5509259259256</v>
      </c>
      <c r="F190" s="4">
        <f t="shared" si="21"/>
        <v>269.00462962962962</v>
      </c>
      <c r="G190" s="4">
        <f t="shared" si="22"/>
        <v>3635.5555555555552</v>
      </c>
      <c r="H190" s="3">
        <v>297284</v>
      </c>
      <c r="I190" s="4">
        <f t="shared" si="23"/>
        <v>3440.787037037037</v>
      </c>
      <c r="J190" s="5">
        <f t="shared" si="24"/>
        <v>5.3573247758761204E-2</v>
      </c>
      <c r="K190" s="7">
        <v>54.578172193825502</v>
      </c>
      <c r="L190" s="7">
        <v>18.527347340524774</v>
      </c>
      <c r="M190" s="3">
        <v>30959.999999997308</v>
      </c>
      <c r="N190" s="3">
        <v>7400.0000000000909</v>
      </c>
      <c r="O190" s="3">
        <f t="shared" si="25"/>
        <v>38359.999999997395</v>
      </c>
      <c r="P190" s="6">
        <f t="shared" si="28"/>
        <v>9.8563569682143012E-2</v>
      </c>
      <c r="Q190" s="6">
        <f t="shared" si="29"/>
        <v>2.3558475957620503E-2</v>
      </c>
      <c r="R190" s="6">
        <f t="shared" si="30"/>
        <v>0.1221220456397635</v>
      </c>
      <c r="S190" s="6">
        <f t="shared" si="27"/>
        <v>0.13188022140474231</v>
      </c>
    </row>
    <row r="191" spans="1:19" x14ac:dyDescent="0.35">
      <c r="A191" s="2">
        <v>45236</v>
      </c>
      <c r="B191" s="3">
        <v>333856</v>
      </c>
      <c r="C191" s="3">
        <v>28825</v>
      </c>
      <c r="D191" s="3">
        <f t="shared" si="20"/>
        <v>362681</v>
      </c>
      <c r="E191" s="4">
        <f t="shared" si="21"/>
        <v>3864.0740740740739</v>
      </c>
      <c r="F191" s="4">
        <f t="shared" si="21"/>
        <v>333.62268518518516</v>
      </c>
      <c r="G191" s="4">
        <f t="shared" si="22"/>
        <v>4197.6967592592591</v>
      </c>
      <c r="H191" s="3">
        <v>327022</v>
      </c>
      <c r="I191" s="4">
        <f t="shared" si="23"/>
        <v>3784.9768518518517</v>
      </c>
      <c r="J191" s="5">
        <f t="shared" si="24"/>
        <v>9.832056269834924E-2</v>
      </c>
      <c r="K191" s="7">
        <v>55.720720990935398</v>
      </c>
      <c r="L191" s="7">
        <v>20.073394552550148</v>
      </c>
      <c r="M191" s="3">
        <v>33999.999999998181</v>
      </c>
      <c r="N191" s="3">
        <v>8259.999999998854</v>
      </c>
      <c r="O191" s="3">
        <f t="shared" si="25"/>
        <v>42259.999999997031</v>
      </c>
      <c r="P191" s="6">
        <f t="shared" si="28"/>
        <v>9.3746294953411344E-2</v>
      </c>
      <c r="Q191" s="6">
        <f t="shared" si="29"/>
        <v>2.2774835185738581E-2</v>
      </c>
      <c r="R191" s="6">
        <f t="shared" si="30"/>
        <v>0.11652113013914991</v>
      </c>
      <c r="S191" s="6">
        <f t="shared" si="27"/>
        <v>0.12658152017635457</v>
      </c>
    </row>
    <row r="192" spans="1:19" x14ac:dyDescent="0.35">
      <c r="A192" s="2">
        <v>45237</v>
      </c>
      <c r="B192" s="3">
        <v>331691</v>
      </c>
      <c r="C192" s="3">
        <v>28957</v>
      </c>
      <c r="D192" s="3">
        <f t="shared" si="20"/>
        <v>360648</v>
      </c>
      <c r="E192" s="4">
        <f t="shared" si="21"/>
        <v>3839.0162037037035</v>
      </c>
      <c r="F192" s="4">
        <f t="shared" si="21"/>
        <v>335.15046296296293</v>
      </c>
      <c r="G192" s="4">
        <f t="shared" si="22"/>
        <v>4174.1666666666661</v>
      </c>
      <c r="H192" s="3">
        <v>332062</v>
      </c>
      <c r="I192" s="4">
        <f t="shared" si="23"/>
        <v>3843.3101851851848</v>
      </c>
      <c r="J192" s="5">
        <f t="shared" si="24"/>
        <v>7.9262882367294424E-2</v>
      </c>
      <c r="K192" s="7">
        <v>56.24339248620322</v>
      </c>
      <c r="L192" s="7">
        <v>19.370297390708444</v>
      </c>
      <c r="M192" s="3">
        <v>33200.000000002547</v>
      </c>
      <c r="N192" s="3">
        <v>9760.000000000673</v>
      </c>
      <c r="O192" s="3">
        <f t="shared" si="25"/>
        <v>42960.000000003216</v>
      </c>
      <c r="P192" s="6">
        <f t="shared" si="28"/>
        <v>9.2056520485355661E-2</v>
      </c>
      <c r="Q192" s="6">
        <f t="shared" si="29"/>
        <v>2.7062398793285068E-2</v>
      </c>
      <c r="R192" s="6">
        <f t="shared" si="30"/>
        <v>0.11911891927864071</v>
      </c>
      <c r="S192" s="6">
        <f t="shared" si="27"/>
        <v>0.12951813585536906</v>
      </c>
    </row>
    <row r="193" spans="1:19" x14ac:dyDescent="0.35">
      <c r="A193" s="2">
        <v>45238</v>
      </c>
      <c r="B193" s="3">
        <v>330376</v>
      </c>
      <c r="C193" s="3">
        <v>27055</v>
      </c>
      <c r="D193" s="3">
        <f t="shared" si="20"/>
        <v>357431</v>
      </c>
      <c r="E193" s="4">
        <f t="shared" si="21"/>
        <v>3823.7962962962961</v>
      </c>
      <c r="F193" s="4">
        <f t="shared" si="21"/>
        <v>313.13657407407408</v>
      </c>
      <c r="G193" s="4">
        <f t="shared" si="22"/>
        <v>4136.9328703703704</v>
      </c>
      <c r="H193" s="3">
        <v>329076</v>
      </c>
      <c r="I193" s="4">
        <f t="shared" si="23"/>
        <v>3808.7499999999995</v>
      </c>
      <c r="J193" s="5">
        <f t="shared" si="24"/>
        <v>7.9329996558776386E-2</v>
      </c>
      <c r="K193" s="7">
        <v>54.851398772428659</v>
      </c>
      <c r="L193" s="7">
        <v>19.259544680310185</v>
      </c>
      <c r="M193" s="3">
        <v>34039.999999997235</v>
      </c>
      <c r="N193" s="3">
        <v>7460.0000000000364</v>
      </c>
      <c r="O193" s="3">
        <f t="shared" si="25"/>
        <v>41499.999999997272</v>
      </c>
      <c r="P193" s="6">
        <f t="shared" si="28"/>
        <v>9.523516426945966E-2</v>
      </c>
      <c r="Q193" s="6">
        <f t="shared" si="29"/>
        <v>2.087116114718655E-2</v>
      </c>
      <c r="R193" s="6">
        <f t="shared" si="30"/>
        <v>0.11610632541664621</v>
      </c>
      <c r="S193" s="6">
        <f t="shared" si="27"/>
        <v>0.12561445141292732</v>
      </c>
    </row>
    <row r="194" spans="1:19" x14ac:dyDescent="0.35">
      <c r="A194" s="2">
        <v>45239</v>
      </c>
      <c r="B194" s="3">
        <v>329587</v>
      </c>
      <c r="C194" s="3">
        <v>22837</v>
      </c>
      <c r="D194" s="3">
        <f t="shared" si="20"/>
        <v>352424</v>
      </c>
      <c r="E194" s="4">
        <f t="shared" si="21"/>
        <v>3814.6643518518517</v>
      </c>
      <c r="F194" s="4">
        <f t="shared" si="21"/>
        <v>264.31712962962962</v>
      </c>
      <c r="G194" s="4">
        <f t="shared" si="22"/>
        <v>4078.9814814814813</v>
      </c>
      <c r="H194" s="3">
        <v>326284</v>
      </c>
      <c r="I194" s="4">
        <f t="shared" si="23"/>
        <v>3776.4351851851848</v>
      </c>
      <c r="J194" s="5">
        <f t="shared" si="24"/>
        <v>7.4172020066737787E-2</v>
      </c>
      <c r="K194" s="7">
        <v>57.584299337085511</v>
      </c>
      <c r="L194" s="7">
        <v>20.689740510217881</v>
      </c>
      <c r="M194" s="3">
        <v>32720.000000002983</v>
      </c>
      <c r="N194" s="3">
        <v>6779.9999999992906</v>
      </c>
      <c r="O194" s="3">
        <f t="shared" si="25"/>
        <v>39500.00000000227</v>
      </c>
      <c r="P194" s="6">
        <f t="shared" si="28"/>
        <v>9.2842712187600679E-2</v>
      </c>
      <c r="Q194" s="6">
        <f t="shared" si="29"/>
        <v>1.9238190361607867E-2</v>
      </c>
      <c r="R194" s="6">
        <f t="shared" si="30"/>
        <v>0.11208090254920854</v>
      </c>
      <c r="S194" s="6">
        <f t="shared" si="27"/>
        <v>0.11984695998325866</v>
      </c>
    </row>
    <row r="195" spans="1:19" x14ac:dyDescent="0.35">
      <c r="A195" s="2">
        <v>45240</v>
      </c>
      <c r="B195" s="3">
        <v>328922</v>
      </c>
      <c r="C195" s="3">
        <v>19438</v>
      </c>
      <c r="D195" s="3">
        <f t="shared" si="20"/>
        <v>348360</v>
      </c>
      <c r="E195" s="4">
        <f t="shared" si="21"/>
        <v>3806.9675925925922</v>
      </c>
      <c r="F195" s="4">
        <f t="shared" si="21"/>
        <v>224.97685185185185</v>
      </c>
      <c r="G195" s="4">
        <f t="shared" si="22"/>
        <v>4031.9444444444439</v>
      </c>
      <c r="H195" s="3">
        <v>322336</v>
      </c>
      <c r="I195" s="4">
        <f t="shared" si="23"/>
        <v>3730.7407407407404</v>
      </c>
      <c r="J195" s="5">
        <f t="shared" si="24"/>
        <v>7.4704328855207253E-2</v>
      </c>
      <c r="K195" s="7">
        <v>57.33102023766871</v>
      </c>
      <c r="L195" s="7">
        <v>20.83360377194359</v>
      </c>
      <c r="M195" s="3">
        <v>31079.999999999927</v>
      </c>
      <c r="N195" s="3">
        <v>6659.9999999993997</v>
      </c>
      <c r="O195" s="3">
        <f t="shared" si="25"/>
        <v>37739.999999999331</v>
      </c>
      <c r="P195" s="6">
        <f t="shared" si="28"/>
        <v>8.9218050292800347E-2</v>
      </c>
      <c r="Q195" s="6">
        <f t="shared" si="29"/>
        <v>1.9118153634169823E-2</v>
      </c>
      <c r="R195" s="6">
        <f t="shared" si="30"/>
        <v>0.10833620392697017</v>
      </c>
      <c r="S195" s="6">
        <f t="shared" si="27"/>
        <v>0.11473844862915625</v>
      </c>
    </row>
    <row r="196" spans="1:19" x14ac:dyDescent="0.35">
      <c r="A196" s="2">
        <v>45241</v>
      </c>
      <c r="B196" s="3">
        <v>327868</v>
      </c>
      <c r="C196" s="3">
        <v>20672</v>
      </c>
      <c r="D196" s="3">
        <f t="shared" ref="D196:D246" si="31">SUM(B196:C196)</f>
        <v>348540</v>
      </c>
      <c r="E196" s="4">
        <f t="shared" ref="E196:F246" si="32">B196/86.4</f>
        <v>3794.7685185185182</v>
      </c>
      <c r="F196" s="4">
        <f t="shared" si="32"/>
        <v>239.25925925925924</v>
      </c>
      <c r="G196" s="4">
        <f t="shared" ref="G196:G246" si="33">SUM(E196:F196)</f>
        <v>4034.0277777777774</v>
      </c>
      <c r="H196" s="3">
        <v>320448</v>
      </c>
      <c r="I196" s="4">
        <f t="shared" ref="I196:I246" si="34">H196/86.4</f>
        <v>3708.8888888888887</v>
      </c>
      <c r="J196" s="5">
        <f t="shared" ref="J196:J246" si="35">(D196-H196)/D196</f>
        <v>8.0599070407987611E-2</v>
      </c>
      <c r="K196" s="7">
        <v>57.424108879125889</v>
      </c>
      <c r="L196" s="7">
        <v>21.115208896340558</v>
      </c>
      <c r="M196" s="3">
        <v>31520.000000000437</v>
      </c>
      <c r="N196" s="3">
        <v>5640.0000000012369</v>
      </c>
      <c r="O196" s="3">
        <f t="shared" ref="O196:O246" si="36">SUM(M196:N196)</f>
        <v>37160.000000001673</v>
      </c>
      <c r="P196" s="6">
        <f t="shared" si="28"/>
        <v>9.0434383428015255E-2</v>
      </c>
      <c r="Q196" s="6">
        <f t="shared" si="29"/>
        <v>1.6181786882427374E-2</v>
      </c>
      <c r="R196" s="6">
        <f t="shared" ref="R196:R246" si="37">O196/$D196</f>
        <v>0.10661617031044263</v>
      </c>
      <c r="S196" s="6">
        <f t="shared" ref="S196:S246" si="38">O196/B196</f>
        <v>0.11333829467957127</v>
      </c>
    </row>
    <row r="197" spans="1:19" x14ac:dyDescent="0.35">
      <c r="A197" s="2">
        <v>45242</v>
      </c>
      <c r="B197" s="3">
        <v>327723</v>
      </c>
      <c r="C197" s="3">
        <v>19268</v>
      </c>
      <c r="D197" s="3">
        <f t="shared" si="31"/>
        <v>346991</v>
      </c>
      <c r="E197" s="4">
        <f t="shared" si="32"/>
        <v>3793.0902777777774</v>
      </c>
      <c r="F197" s="4">
        <f t="shared" si="32"/>
        <v>223.00925925925924</v>
      </c>
      <c r="G197" s="4">
        <f t="shared" si="33"/>
        <v>4016.0995370370365</v>
      </c>
      <c r="H197" s="3">
        <v>319692</v>
      </c>
      <c r="I197" s="4">
        <f t="shared" si="34"/>
        <v>3700.1388888888887</v>
      </c>
      <c r="J197" s="5">
        <f t="shared" si="35"/>
        <v>7.8673510263954971E-2</v>
      </c>
      <c r="K197" s="7">
        <v>58.600019037329012</v>
      </c>
      <c r="L197" s="7">
        <v>21.894698150043755</v>
      </c>
      <c r="M197" s="3">
        <v>28159.999999998035</v>
      </c>
      <c r="N197" s="3">
        <v>5500.0000000004547</v>
      </c>
      <c r="O197" s="3">
        <f t="shared" si="36"/>
        <v>33659.999999998487</v>
      </c>
      <c r="P197" s="6">
        <f t="shared" ref="P197:P246" si="39">M197/$D197</f>
        <v>8.1154842632800372E-2</v>
      </c>
      <c r="Q197" s="6">
        <f t="shared" ref="Q197:Q246" si="40">N197/$D197</f>
        <v>1.5850555201721239E-2</v>
      </c>
      <c r="R197" s="6">
        <f t="shared" si="37"/>
        <v>9.7005397834521612E-2</v>
      </c>
      <c r="S197" s="6">
        <f t="shared" si="38"/>
        <v>0.10270868996072441</v>
      </c>
    </row>
    <row r="198" spans="1:19" x14ac:dyDescent="0.35">
      <c r="A198" s="2">
        <v>45243</v>
      </c>
      <c r="B198" s="3">
        <v>328018</v>
      </c>
      <c r="C198" s="3">
        <v>22646</v>
      </c>
      <c r="D198" s="3">
        <f t="shared" si="31"/>
        <v>350664</v>
      </c>
      <c r="E198" s="4">
        <f t="shared" si="32"/>
        <v>3796.5046296296296</v>
      </c>
      <c r="F198" s="4">
        <f t="shared" si="32"/>
        <v>262.10648148148147</v>
      </c>
      <c r="G198" s="4">
        <f t="shared" si="33"/>
        <v>4058.6111111111109</v>
      </c>
      <c r="H198" s="3">
        <v>323332</v>
      </c>
      <c r="I198" s="4">
        <f t="shared" si="34"/>
        <v>3742.2685185185182</v>
      </c>
      <c r="J198" s="5">
        <f t="shared" si="35"/>
        <v>7.7943558506148342E-2</v>
      </c>
      <c r="K198" s="7">
        <v>53.385981995680652</v>
      </c>
      <c r="L198" s="7">
        <v>19.211462871732881</v>
      </c>
      <c r="M198" s="3">
        <v>33600.000000002183</v>
      </c>
      <c r="N198" s="3">
        <v>7019.9999999999818</v>
      </c>
      <c r="O198" s="3">
        <f t="shared" si="36"/>
        <v>40620.000000002168</v>
      </c>
      <c r="P198" s="6">
        <f t="shared" si="39"/>
        <v>9.5818219149961734E-2</v>
      </c>
      <c r="Q198" s="6">
        <f t="shared" si="40"/>
        <v>2.001916364382994E-2</v>
      </c>
      <c r="R198" s="6">
        <f t="shared" si="37"/>
        <v>0.11583738279379169</v>
      </c>
      <c r="S198" s="6">
        <f t="shared" si="38"/>
        <v>0.12383466760971096</v>
      </c>
    </row>
    <row r="199" spans="1:19" x14ac:dyDescent="0.35">
      <c r="A199" s="2">
        <v>45244</v>
      </c>
      <c r="B199" s="3">
        <v>328253</v>
      </c>
      <c r="C199" s="3">
        <v>23298</v>
      </c>
      <c r="D199" s="3">
        <f t="shared" si="31"/>
        <v>351551</v>
      </c>
      <c r="E199" s="4">
        <f t="shared" si="32"/>
        <v>3799.224537037037</v>
      </c>
      <c r="F199" s="4">
        <f t="shared" si="32"/>
        <v>269.65277777777777</v>
      </c>
      <c r="G199" s="4">
        <f t="shared" si="33"/>
        <v>4068.8773148148148</v>
      </c>
      <c r="H199" s="3">
        <v>324312</v>
      </c>
      <c r="I199" s="4">
        <f t="shared" si="34"/>
        <v>3753.6111111111109</v>
      </c>
      <c r="J199" s="5">
        <f t="shared" si="35"/>
        <v>7.7482356756203227E-2</v>
      </c>
      <c r="K199" s="7">
        <v>50.182842272746413</v>
      </c>
      <c r="L199" s="7">
        <v>19.710504348064127</v>
      </c>
      <c r="M199" s="3">
        <v>32279.999999998836</v>
      </c>
      <c r="N199" s="3">
        <v>7299.9999999983629</v>
      </c>
      <c r="O199" s="3">
        <f t="shared" si="36"/>
        <v>39579.999999997199</v>
      </c>
      <c r="P199" s="6">
        <f t="shared" si="39"/>
        <v>9.1821670255521487E-2</v>
      </c>
      <c r="Q199" s="6">
        <f t="shared" si="40"/>
        <v>2.0765123694708201E-2</v>
      </c>
      <c r="R199" s="6">
        <f t="shared" si="37"/>
        <v>0.11258679395022969</v>
      </c>
      <c r="S199" s="6">
        <f t="shared" si="38"/>
        <v>0.12057772510836824</v>
      </c>
    </row>
    <row r="200" spans="1:19" x14ac:dyDescent="0.35">
      <c r="A200" s="2">
        <v>45245</v>
      </c>
      <c r="B200" s="3">
        <v>327995</v>
      </c>
      <c r="C200" s="3">
        <v>19863</v>
      </c>
      <c r="D200" s="3">
        <f t="shared" si="31"/>
        <v>347858</v>
      </c>
      <c r="E200" s="4">
        <f t="shared" si="32"/>
        <v>3796.2384259259256</v>
      </c>
      <c r="F200" s="4">
        <f t="shared" si="32"/>
        <v>229.89583333333331</v>
      </c>
      <c r="G200" s="4">
        <f t="shared" si="33"/>
        <v>4026.1342592592591</v>
      </c>
      <c r="H200" s="3">
        <v>320842</v>
      </c>
      <c r="I200" s="4">
        <f t="shared" si="34"/>
        <v>3713.4490740740739</v>
      </c>
      <c r="J200" s="5">
        <f t="shared" si="35"/>
        <v>7.7663874339529343E-2</v>
      </c>
      <c r="K200" s="7">
        <v>52.551803315425239</v>
      </c>
      <c r="L200" s="7">
        <v>20.635828731773231</v>
      </c>
      <c r="M200" s="3">
        <v>30480.000000001382</v>
      </c>
      <c r="N200" s="3">
        <v>6660.0000000012187</v>
      </c>
      <c r="O200" s="3">
        <f t="shared" si="36"/>
        <v>37140.000000002605</v>
      </c>
      <c r="P200" s="6">
        <f t="shared" si="39"/>
        <v>8.7621960685111119E-2</v>
      </c>
      <c r="Q200" s="6">
        <f t="shared" si="40"/>
        <v>1.9145743378048568E-2</v>
      </c>
      <c r="R200" s="6">
        <f t="shared" si="37"/>
        <v>0.10676770406315969</v>
      </c>
      <c r="S200" s="6">
        <f t="shared" si="38"/>
        <v>0.11323343343649325</v>
      </c>
    </row>
    <row r="201" spans="1:19" x14ac:dyDescent="0.35">
      <c r="A201" s="2">
        <v>45246</v>
      </c>
      <c r="B201" s="3">
        <v>327905</v>
      </c>
      <c r="C201" s="3">
        <v>20765</v>
      </c>
      <c r="D201" s="3">
        <f t="shared" si="31"/>
        <v>348670</v>
      </c>
      <c r="E201" s="4">
        <f t="shared" si="32"/>
        <v>3795.1967592592591</v>
      </c>
      <c r="F201" s="4">
        <f t="shared" si="32"/>
        <v>240.33564814814812</v>
      </c>
      <c r="G201" s="4">
        <f t="shared" si="33"/>
        <v>4035.5324074074074</v>
      </c>
      <c r="H201" s="3">
        <v>321438</v>
      </c>
      <c r="I201" s="4">
        <f t="shared" si="34"/>
        <v>3720.3472222222222</v>
      </c>
      <c r="J201" s="5">
        <f t="shared" si="35"/>
        <v>7.8102503800154877E-2</v>
      </c>
      <c r="K201" s="7">
        <v>50.976151019577955</v>
      </c>
      <c r="L201" s="7">
        <v>19.094021044071017</v>
      </c>
      <c r="M201" s="3">
        <v>30719.999999999345</v>
      </c>
      <c r="N201" s="3">
        <v>7460.0000000000364</v>
      </c>
      <c r="O201" s="3">
        <f t="shared" si="36"/>
        <v>38179.999999999382</v>
      </c>
      <c r="P201" s="6">
        <f t="shared" si="39"/>
        <v>8.8106232253991876E-2</v>
      </c>
      <c r="Q201" s="6">
        <f t="shared" si="40"/>
        <v>2.1395588952304576E-2</v>
      </c>
      <c r="R201" s="6">
        <f t="shared" si="37"/>
        <v>0.10950182120629645</v>
      </c>
      <c r="S201" s="6">
        <f t="shared" si="38"/>
        <v>0.11643616291303695</v>
      </c>
    </row>
    <row r="202" spans="1:19" x14ac:dyDescent="0.35">
      <c r="A202" s="2">
        <v>45247</v>
      </c>
      <c r="B202" s="3">
        <v>329065</v>
      </c>
      <c r="C202" s="3">
        <v>15026</v>
      </c>
      <c r="D202" s="3">
        <f t="shared" si="31"/>
        <v>344091</v>
      </c>
      <c r="E202" s="4">
        <f t="shared" si="32"/>
        <v>3808.6226851851848</v>
      </c>
      <c r="F202" s="4">
        <f t="shared" si="32"/>
        <v>173.91203703703704</v>
      </c>
      <c r="G202" s="4">
        <f t="shared" si="33"/>
        <v>3982.5347222222217</v>
      </c>
      <c r="H202" s="3">
        <v>317410</v>
      </c>
      <c r="I202" s="4">
        <f t="shared" si="34"/>
        <v>3673.7268518518517</v>
      </c>
      <c r="J202" s="5">
        <f t="shared" si="35"/>
        <v>7.7540534335393832E-2</v>
      </c>
      <c r="K202" s="7">
        <v>50.844857933330054</v>
      </c>
      <c r="L202" s="7">
        <v>19.249400355886916</v>
      </c>
      <c r="M202" s="3">
        <v>31199.999999998909</v>
      </c>
      <c r="N202" s="3">
        <v>6180.000000000291</v>
      </c>
      <c r="O202" s="3">
        <f t="shared" si="36"/>
        <v>37379.9999999992</v>
      </c>
      <c r="P202" s="6">
        <f t="shared" si="39"/>
        <v>9.067368806507263E-2</v>
      </c>
      <c r="Q202" s="6">
        <f t="shared" si="40"/>
        <v>1.7960365135967785E-2</v>
      </c>
      <c r="R202" s="6">
        <f t="shared" si="37"/>
        <v>0.10863405320104041</v>
      </c>
      <c r="S202" s="6">
        <f t="shared" si="38"/>
        <v>0.11359457857869783</v>
      </c>
    </row>
    <row r="203" spans="1:19" x14ac:dyDescent="0.35">
      <c r="A203" s="2">
        <v>45248</v>
      </c>
      <c r="B203" s="3">
        <v>329419</v>
      </c>
      <c r="C203" s="3">
        <v>9228</v>
      </c>
      <c r="D203" s="3">
        <f t="shared" si="31"/>
        <v>338647</v>
      </c>
      <c r="E203" s="4">
        <f t="shared" si="32"/>
        <v>3812.7199074074069</v>
      </c>
      <c r="F203" s="4">
        <f t="shared" si="32"/>
        <v>106.80555555555554</v>
      </c>
      <c r="G203" s="4">
        <f t="shared" si="33"/>
        <v>3919.5254629629626</v>
      </c>
      <c r="H203" s="3">
        <v>311798</v>
      </c>
      <c r="I203" s="4">
        <f t="shared" si="34"/>
        <v>3608.7731481481478</v>
      </c>
      <c r="J203" s="5">
        <f t="shared" si="35"/>
        <v>7.9283147348123556E-2</v>
      </c>
      <c r="K203" s="7">
        <v>49.150812168291452</v>
      </c>
      <c r="L203" s="7">
        <v>19.726018293844067</v>
      </c>
      <c r="M203" s="3">
        <v>28919.999999998254</v>
      </c>
      <c r="N203" s="3">
        <v>4539.9999999985994</v>
      </c>
      <c r="O203" s="3">
        <f t="shared" si="36"/>
        <v>33459.999999996857</v>
      </c>
      <c r="P203" s="6">
        <f t="shared" si="39"/>
        <v>8.5398659961547732E-2</v>
      </c>
      <c r="Q203" s="6">
        <f t="shared" si="40"/>
        <v>1.340629032591046E-2</v>
      </c>
      <c r="R203" s="6">
        <f t="shared" si="37"/>
        <v>9.8804950287458199E-2</v>
      </c>
      <c r="S203" s="6">
        <f t="shared" si="38"/>
        <v>0.10157276902667077</v>
      </c>
    </row>
    <row r="204" spans="1:19" x14ac:dyDescent="0.35">
      <c r="A204" s="2">
        <v>45249</v>
      </c>
      <c r="B204" s="3">
        <v>328784</v>
      </c>
      <c r="C204" s="3">
        <v>10862</v>
      </c>
      <c r="D204" s="3">
        <f t="shared" si="31"/>
        <v>339646</v>
      </c>
      <c r="E204" s="4">
        <f t="shared" si="32"/>
        <v>3805.37037037037</v>
      </c>
      <c r="F204" s="4">
        <f t="shared" si="32"/>
        <v>125.71759259259258</v>
      </c>
      <c r="G204" s="4">
        <f t="shared" si="33"/>
        <v>3931.0879629629626</v>
      </c>
      <c r="H204" s="3">
        <v>311342</v>
      </c>
      <c r="I204" s="4">
        <f t="shared" si="34"/>
        <v>3603.49537037037</v>
      </c>
      <c r="J204" s="5">
        <f t="shared" si="35"/>
        <v>8.3333824040324342E-2</v>
      </c>
      <c r="K204" s="7">
        <v>45.18147672707569</v>
      </c>
      <c r="L204" s="7">
        <v>15.734398561220592</v>
      </c>
      <c r="M204" s="3">
        <v>29360.000000002401</v>
      </c>
      <c r="N204" s="3">
        <v>5060.0000000004002</v>
      </c>
      <c r="O204" s="3">
        <f t="shared" si="36"/>
        <v>34420.000000002801</v>
      </c>
      <c r="P204" s="6">
        <f t="shared" si="39"/>
        <v>8.6442943535335034E-2</v>
      </c>
      <c r="Q204" s="6">
        <f t="shared" si="40"/>
        <v>1.489786424689353E-2</v>
      </c>
      <c r="R204" s="6">
        <f t="shared" si="37"/>
        <v>0.10134080778222856</v>
      </c>
      <c r="S204" s="6">
        <f t="shared" si="38"/>
        <v>0.10468879264198623</v>
      </c>
    </row>
    <row r="205" spans="1:19" x14ac:dyDescent="0.35">
      <c r="A205" s="2">
        <v>45250</v>
      </c>
      <c r="B205" s="3">
        <v>328625</v>
      </c>
      <c r="C205" s="3">
        <v>9391</v>
      </c>
      <c r="D205" s="3">
        <f t="shared" si="31"/>
        <v>338016</v>
      </c>
      <c r="E205" s="4">
        <f t="shared" si="32"/>
        <v>3803.5300925925922</v>
      </c>
      <c r="F205" s="4">
        <f t="shared" si="32"/>
        <v>108.69212962962962</v>
      </c>
      <c r="G205" s="4">
        <f t="shared" si="33"/>
        <v>3912.2222222222217</v>
      </c>
      <c r="H205" s="3">
        <v>315282</v>
      </c>
      <c r="I205" s="4">
        <f t="shared" si="34"/>
        <v>3649.0972222222222</v>
      </c>
      <c r="J205" s="5">
        <f t="shared" si="35"/>
        <v>6.7257171258165299E-2</v>
      </c>
      <c r="K205" s="7">
        <v>57.716146740196258</v>
      </c>
      <c r="L205" s="7">
        <v>20.834725316736918</v>
      </c>
      <c r="M205" s="3">
        <v>30760.000000000218</v>
      </c>
      <c r="N205" s="3">
        <v>5720.0000000002547</v>
      </c>
      <c r="O205" s="3">
        <f t="shared" si="36"/>
        <v>36480.000000000473</v>
      </c>
      <c r="P205" s="6">
        <f t="shared" si="39"/>
        <v>9.1001609391272067E-2</v>
      </c>
      <c r="Q205" s="6">
        <f t="shared" si="40"/>
        <v>1.692227586859869E-2</v>
      </c>
      <c r="R205" s="6">
        <f t="shared" si="37"/>
        <v>0.10792388525987076</v>
      </c>
      <c r="S205" s="6">
        <f t="shared" si="38"/>
        <v>0.11100798782807295</v>
      </c>
    </row>
    <row r="206" spans="1:19" x14ac:dyDescent="0.35">
      <c r="A206" s="2">
        <v>45251</v>
      </c>
      <c r="B206" s="3">
        <v>327907</v>
      </c>
      <c r="C206" s="3">
        <v>17750</v>
      </c>
      <c r="D206" s="3">
        <f t="shared" si="31"/>
        <v>345657</v>
      </c>
      <c r="E206" s="4">
        <f t="shared" si="32"/>
        <v>3795.2199074074069</v>
      </c>
      <c r="F206" s="4">
        <f t="shared" si="32"/>
        <v>205.43981481481481</v>
      </c>
      <c r="G206" s="4">
        <f t="shared" si="33"/>
        <v>4000.6597222222217</v>
      </c>
      <c r="H206" s="3">
        <v>318902</v>
      </c>
      <c r="I206" s="4">
        <f t="shared" si="34"/>
        <v>3690.99537037037</v>
      </c>
      <c r="J206" s="5">
        <f t="shared" si="35"/>
        <v>7.7403321790098276E-2</v>
      </c>
      <c r="K206" s="7">
        <v>45.391560236155492</v>
      </c>
      <c r="L206" s="7">
        <v>18.900143839068214</v>
      </c>
      <c r="M206" s="3">
        <v>31280.000000000655</v>
      </c>
      <c r="N206" s="3">
        <v>7599.9999999994543</v>
      </c>
      <c r="O206" s="3">
        <f t="shared" si="36"/>
        <v>38880.000000000109</v>
      </c>
      <c r="P206" s="6">
        <f t="shared" si="39"/>
        <v>9.0494333978483457E-2</v>
      </c>
      <c r="Q206" s="6">
        <f t="shared" si="40"/>
        <v>2.1987114393747138E-2</v>
      </c>
      <c r="R206" s="6">
        <f t="shared" si="37"/>
        <v>0.11248144837223059</v>
      </c>
      <c r="S206" s="6">
        <f t="shared" si="38"/>
        <v>0.11857020435672343</v>
      </c>
    </row>
    <row r="207" spans="1:19" x14ac:dyDescent="0.35">
      <c r="A207" s="2">
        <v>45252</v>
      </c>
      <c r="B207" s="3">
        <v>327573</v>
      </c>
      <c r="C207" s="3">
        <v>18499</v>
      </c>
      <c r="D207" s="3">
        <f t="shared" si="31"/>
        <v>346072</v>
      </c>
      <c r="E207" s="4">
        <f t="shared" si="32"/>
        <v>3791.3541666666665</v>
      </c>
      <c r="F207" s="4">
        <f t="shared" si="32"/>
        <v>214.10879629629628</v>
      </c>
      <c r="G207" s="4">
        <f t="shared" si="33"/>
        <v>4005.4629629629626</v>
      </c>
      <c r="H207" s="3">
        <v>318858</v>
      </c>
      <c r="I207" s="4">
        <f t="shared" si="34"/>
        <v>3690.4861111111109</v>
      </c>
      <c r="J207" s="5">
        <f t="shared" si="35"/>
        <v>7.8636815460366633E-2</v>
      </c>
      <c r="K207" s="7">
        <v>47.023389682673375</v>
      </c>
      <c r="L207" s="7">
        <v>20.349726394109162</v>
      </c>
      <c r="M207" s="3">
        <v>30599.999999996726</v>
      </c>
      <c r="N207" s="3">
        <v>7340.0000000006003</v>
      </c>
      <c r="O207" s="3">
        <f t="shared" si="36"/>
        <v>37939.999999997322</v>
      </c>
      <c r="P207" s="6">
        <f t="shared" si="39"/>
        <v>8.8420906632136448E-2</v>
      </c>
      <c r="Q207" s="6">
        <f t="shared" si="40"/>
        <v>2.1209459303268108E-2</v>
      </c>
      <c r="R207" s="6">
        <f t="shared" si="37"/>
        <v>0.10963036593540455</v>
      </c>
      <c r="S207" s="6">
        <f t="shared" si="38"/>
        <v>0.11582151154093079</v>
      </c>
    </row>
    <row r="208" spans="1:19" x14ac:dyDescent="0.35">
      <c r="A208" s="2">
        <v>45253</v>
      </c>
      <c r="B208" s="3">
        <v>329920</v>
      </c>
      <c r="C208" s="3">
        <v>16658</v>
      </c>
      <c r="D208" s="3">
        <f t="shared" si="31"/>
        <v>346578</v>
      </c>
      <c r="E208" s="4">
        <f t="shared" si="32"/>
        <v>3818.5185185185182</v>
      </c>
      <c r="F208" s="4">
        <f t="shared" si="32"/>
        <v>192.80092592592592</v>
      </c>
      <c r="G208" s="4">
        <f t="shared" si="33"/>
        <v>4011.3194444444443</v>
      </c>
      <c r="H208" s="3">
        <v>318472</v>
      </c>
      <c r="I208" s="4">
        <f t="shared" si="34"/>
        <v>3686.0185185185182</v>
      </c>
      <c r="J208" s="5">
        <f t="shared" si="35"/>
        <v>8.1095741795497694E-2</v>
      </c>
      <c r="K208" s="7">
        <v>51.119768457263056</v>
      </c>
      <c r="L208" s="7">
        <v>20.385353693486941</v>
      </c>
      <c r="M208" s="3">
        <v>30120.000000002619</v>
      </c>
      <c r="N208" s="3">
        <v>7119.9999999989814</v>
      </c>
      <c r="O208" s="3">
        <f t="shared" si="36"/>
        <v>37240.000000001601</v>
      </c>
      <c r="P208" s="6">
        <f t="shared" si="39"/>
        <v>8.690684348112869E-2</v>
      </c>
      <c r="Q208" s="6">
        <f t="shared" si="40"/>
        <v>2.0543715988894221E-2</v>
      </c>
      <c r="R208" s="6">
        <f t="shared" si="37"/>
        <v>0.10745055947002291</v>
      </c>
      <c r="S208" s="6">
        <f t="shared" si="38"/>
        <v>0.11287584869059651</v>
      </c>
    </row>
    <row r="209" spans="1:19" x14ac:dyDescent="0.35">
      <c r="A209" s="2">
        <v>45254</v>
      </c>
      <c r="B209" s="3">
        <v>329502</v>
      </c>
      <c r="C209" s="3">
        <v>14820</v>
      </c>
      <c r="D209" s="3">
        <f t="shared" si="31"/>
        <v>344322</v>
      </c>
      <c r="E209" s="4">
        <f t="shared" si="32"/>
        <v>3813.6805555555552</v>
      </c>
      <c r="F209" s="4">
        <f t="shared" si="32"/>
        <v>171.52777777777777</v>
      </c>
      <c r="G209" s="4">
        <f t="shared" si="33"/>
        <v>3985.208333333333</v>
      </c>
      <c r="H209" s="3">
        <v>317364</v>
      </c>
      <c r="I209" s="4">
        <f t="shared" si="34"/>
        <v>3673.1944444444443</v>
      </c>
      <c r="J209" s="5">
        <f t="shared" si="35"/>
        <v>7.8292993186610205E-2</v>
      </c>
      <c r="K209" s="7">
        <v>45.298447138873691</v>
      </c>
      <c r="L209" s="7">
        <v>19.729729485049653</v>
      </c>
      <c r="M209" s="3">
        <v>30280.000000000655</v>
      </c>
      <c r="N209" s="3">
        <v>6180.000000000291</v>
      </c>
      <c r="O209" s="3">
        <f t="shared" si="36"/>
        <v>36460.000000000946</v>
      </c>
      <c r="P209" s="6">
        <f t="shared" si="39"/>
        <v>8.7940939004770693E-2</v>
      </c>
      <c r="Q209" s="6">
        <f t="shared" si="40"/>
        <v>1.794831582065709E-2</v>
      </c>
      <c r="R209" s="6">
        <f t="shared" si="37"/>
        <v>0.10588925482542778</v>
      </c>
      <c r="S209" s="6">
        <f t="shared" si="38"/>
        <v>0.11065183215883651</v>
      </c>
    </row>
    <row r="210" spans="1:19" x14ac:dyDescent="0.35">
      <c r="A210" s="2">
        <v>45255</v>
      </c>
      <c r="B210" s="3">
        <v>329606</v>
      </c>
      <c r="C210" s="3">
        <v>10691</v>
      </c>
      <c r="D210" s="3">
        <f t="shared" si="31"/>
        <v>340297</v>
      </c>
      <c r="E210" s="4">
        <f t="shared" si="32"/>
        <v>3814.8842592592591</v>
      </c>
      <c r="F210" s="4">
        <f t="shared" si="32"/>
        <v>123.73842592592592</v>
      </c>
      <c r="G210" s="4">
        <f t="shared" si="33"/>
        <v>3938.6226851851852</v>
      </c>
      <c r="H210" s="3">
        <v>313684</v>
      </c>
      <c r="I210" s="4">
        <f t="shared" si="34"/>
        <v>3630.6018518518517</v>
      </c>
      <c r="J210" s="5">
        <f t="shared" si="35"/>
        <v>7.8205214856434238E-2</v>
      </c>
      <c r="K210" s="7">
        <v>44.804284915831083</v>
      </c>
      <c r="L210" s="7">
        <v>20.661798995590797</v>
      </c>
      <c r="M210" s="3">
        <v>28159.999999998035</v>
      </c>
      <c r="N210" s="3">
        <v>6060.0000000004002</v>
      </c>
      <c r="O210" s="3">
        <f t="shared" si="36"/>
        <v>34219.999999998436</v>
      </c>
      <c r="P210" s="6">
        <f t="shared" si="39"/>
        <v>8.2751243766468807E-2</v>
      </c>
      <c r="Q210" s="6">
        <f t="shared" si="40"/>
        <v>1.7807973623042227E-2</v>
      </c>
      <c r="R210" s="6">
        <f t="shared" si="37"/>
        <v>0.10055921738951103</v>
      </c>
      <c r="S210" s="6">
        <f t="shared" si="38"/>
        <v>0.10382092558994203</v>
      </c>
    </row>
    <row r="211" spans="1:19" x14ac:dyDescent="0.35">
      <c r="A211" s="2">
        <v>45256</v>
      </c>
      <c r="B211" s="3">
        <v>328982</v>
      </c>
      <c r="C211" s="3">
        <v>11530</v>
      </c>
      <c r="D211" s="3">
        <f t="shared" si="31"/>
        <v>340512</v>
      </c>
      <c r="E211" s="4">
        <f t="shared" si="32"/>
        <v>3807.662037037037</v>
      </c>
      <c r="F211" s="4">
        <f t="shared" si="32"/>
        <v>133.44907407407408</v>
      </c>
      <c r="G211" s="4">
        <f t="shared" si="33"/>
        <v>3941.1111111111109</v>
      </c>
      <c r="H211" s="3">
        <v>312786</v>
      </c>
      <c r="I211" s="4">
        <f t="shared" si="34"/>
        <v>3620.208333333333</v>
      </c>
      <c r="J211" s="5">
        <f t="shared" si="35"/>
        <v>8.1424443191429371E-2</v>
      </c>
      <c r="K211" s="7">
        <v>44.869150310665923</v>
      </c>
      <c r="L211" s="7">
        <v>20.415997420899888</v>
      </c>
      <c r="M211" s="3">
        <v>29200.000000000728</v>
      </c>
      <c r="N211" s="3">
        <v>4779.9999999997453</v>
      </c>
      <c r="O211" s="3">
        <f t="shared" si="36"/>
        <v>33980.000000000473</v>
      </c>
      <c r="P211" s="6">
        <f t="shared" si="39"/>
        <v>8.5753218682456792E-2</v>
      </c>
      <c r="Q211" s="6">
        <f t="shared" si="40"/>
        <v>1.4037684428154501E-2</v>
      </c>
      <c r="R211" s="6">
        <f t="shared" si="37"/>
        <v>9.9790903110611298E-2</v>
      </c>
      <c r="S211" s="6">
        <f t="shared" si="38"/>
        <v>0.10328832580506069</v>
      </c>
    </row>
    <row r="212" spans="1:19" x14ac:dyDescent="0.35">
      <c r="A212" s="2">
        <v>45257</v>
      </c>
      <c r="B212" s="3">
        <v>331337</v>
      </c>
      <c r="C212" s="3">
        <v>13260</v>
      </c>
      <c r="D212" s="3">
        <f t="shared" si="31"/>
        <v>344597</v>
      </c>
      <c r="E212" s="4">
        <f t="shared" si="32"/>
        <v>3834.9189814814813</v>
      </c>
      <c r="F212" s="4">
        <f t="shared" si="32"/>
        <v>153.4722222222222</v>
      </c>
      <c r="G212" s="4">
        <f t="shared" si="33"/>
        <v>3988.3912037037035</v>
      </c>
      <c r="H212" s="3">
        <v>318540</v>
      </c>
      <c r="I212" s="4">
        <f t="shared" si="34"/>
        <v>3686.8055555555552</v>
      </c>
      <c r="J212" s="5">
        <f t="shared" si="35"/>
        <v>7.5615864328476445E-2</v>
      </c>
      <c r="K212" s="7">
        <v>47.007472531566073</v>
      </c>
      <c r="L212" s="7">
        <v>20.601113799481926</v>
      </c>
      <c r="M212" s="3">
        <v>30840.000000000146</v>
      </c>
      <c r="N212" s="3">
        <v>6380.0000000014734</v>
      </c>
      <c r="O212" s="3">
        <f t="shared" si="36"/>
        <v>37220.000000001615</v>
      </c>
      <c r="P212" s="6">
        <f t="shared" si="39"/>
        <v>8.9495845872135119E-2</v>
      </c>
      <c r="Q212" s="6">
        <f t="shared" si="40"/>
        <v>1.851438056628895E-2</v>
      </c>
      <c r="R212" s="6">
        <f t="shared" si="37"/>
        <v>0.10801022643842406</v>
      </c>
      <c r="S212" s="6">
        <f t="shared" si="38"/>
        <v>0.11233276090506528</v>
      </c>
    </row>
    <row r="213" spans="1:19" x14ac:dyDescent="0.35">
      <c r="A213" s="2">
        <v>45258</v>
      </c>
      <c r="B213" s="3">
        <v>331874</v>
      </c>
      <c r="C213" s="3">
        <v>12758</v>
      </c>
      <c r="D213" s="3">
        <f t="shared" si="31"/>
        <v>344632</v>
      </c>
      <c r="E213" s="4">
        <f t="shared" si="32"/>
        <v>3841.1342592592591</v>
      </c>
      <c r="F213" s="4">
        <f t="shared" si="32"/>
        <v>147.66203703703704</v>
      </c>
      <c r="G213" s="4">
        <f t="shared" si="33"/>
        <v>3988.7962962962961</v>
      </c>
      <c r="H213" s="3">
        <v>318502</v>
      </c>
      <c r="I213" s="4">
        <f t="shared" si="34"/>
        <v>3686.3657407407404</v>
      </c>
      <c r="J213" s="5">
        <f t="shared" si="35"/>
        <v>7.5820005106896626E-2</v>
      </c>
      <c r="K213" s="7">
        <v>44.514312125552294</v>
      </c>
      <c r="L213" s="7">
        <v>19.547715872157372</v>
      </c>
      <c r="M213" s="3">
        <v>30960.000000000946</v>
      </c>
      <c r="N213" s="3">
        <v>6279.9999999997453</v>
      </c>
      <c r="O213" s="3">
        <f t="shared" si="36"/>
        <v>37240.000000000691</v>
      </c>
      <c r="P213" s="6">
        <f t="shared" si="39"/>
        <v>8.9834954386130553E-2</v>
      </c>
      <c r="Q213" s="6">
        <f t="shared" si="40"/>
        <v>1.8222335708813299E-2</v>
      </c>
      <c r="R213" s="6">
        <f t="shared" si="37"/>
        <v>0.10805729009494386</v>
      </c>
      <c r="S213" s="6">
        <f t="shared" si="38"/>
        <v>0.11221126090022325</v>
      </c>
    </row>
    <row r="214" spans="1:19" x14ac:dyDescent="0.35">
      <c r="A214" s="2">
        <v>45259</v>
      </c>
      <c r="B214" s="3">
        <v>331460</v>
      </c>
      <c r="C214" s="3">
        <v>15074</v>
      </c>
      <c r="D214" s="3">
        <f t="shared" si="31"/>
        <v>346534</v>
      </c>
      <c r="E214" s="4">
        <f t="shared" si="32"/>
        <v>3836.3425925925922</v>
      </c>
      <c r="F214" s="4">
        <f t="shared" si="32"/>
        <v>174.46759259259258</v>
      </c>
      <c r="G214" s="4">
        <f t="shared" si="33"/>
        <v>4010.8101851851848</v>
      </c>
      <c r="H214" s="3">
        <v>319564</v>
      </c>
      <c r="I214" s="4">
        <f t="shared" si="34"/>
        <v>3698.6574074074074</v>
      </c>
      <c r="J214" s="5">
        <f t="shared" si="35"/>
        <v>7.7827861046823682E-2</v>
      </c>
      <c r="K214" s="7">
        <v>40.111688328690732</v>
      </c>
      <c r="L214" s="7">
        <v>17.7741033307395</v>
      </c>
      <c r="M214" s="3">
        <v>30639.999999999418</v>
      </c>
      <c r="N214" s="3">
        <v>6279.9999999992906</v>
      </c>
      <c r="O214" s="3">
        <f t="shared" si="36"/>
        <v>36919.999999998705</v>
      </c>
      <c r="P214" s="6">
        <f t="shared" si="39"/>
        <v>8.8418452446222928E-2</v>
      </c>
      <c r="Q214" s="6">
        <f t="shared" si="40"/>
        <v>1.8122319887801171E-2</v>
      </c>
      <c r="R214" s="6">
        <f t="shared" si="37"/>
        <v>0.10654077233402409</v>
      </c>
      <c r="S214" s="6">
        <f t="shared" si="38"/>
        <v>0.11138598925963526</v>
      </c>
    </row>
    <row r="215" spans="1:19" x14ac:dyDescent="0.35">
      <c r="A215" s="2">
        <v>45260</v>
      </c>
      <c r="B215" s="3">
        <v>331334</v>
      </c>
      <c r="C215" s="3">
        <v>13719</v>
      </c>
      <c r="D215" s="3">
        <f t="shared" si="31"/>
        <v>345053</v>
      </c>
      <c r="E215" s="4">
        <f t="shared" si="32"/>
        <v>3834.8842592592591</v>
      </c>
      <c r="F215" s="4">
        <f t="shared" si="32"/>
        <v>158.7847222222222</v>
      </c>
      <c r="G215" s="4">
        <f t="shared" si="33"/>
        <v>3993.6689814814813</v>
      </c>
      <c r="H215" s="3">
        <v>318345</v>
      </c>
      <c r="I215" s="4">
        <f t="shared" si="34"/>
        <v>3684.5486111111109</v>
      </c>
      <c r="J215" s="5">
        <f t="shared" si="35"/>
        <v>7.7402601919125472E-2</v>
      </c>
      <c r="K215" s="7">
        <v>44.050250880343015</v>
      </c>
      <c r="L215" s="7">
        <v>19.392612778370271</v>
      </c>
      <c r="M215" s="3">
        <v>30239.999999999782</v>
      </c>
      <c r="N215" s="3">
        <v>6320.0000000006185</v>
      </c>
      <c r="O215" s="3">
        <f t="shared" si="36"/>
        <v>36560.0000000004</v>
      </c>
      <c r="P215" s="6">
        <f t="shared" si="39"/>
        <v>8.7638710574896556E-2</v>
      </c>
      <c r="Q215" s="6">
        <f t="shared" si="40"/>
        <v>1.8316026813273958E-2</v>
      </c>
      <c r="R215" s="6">
        <f t="shared" si="37"/>
        <v>0.10595473738817052</v>
      </c>
      <c r="S215" s="6">
        <f t="shared" si="38"/>
        <v>0.11034183029812938</v>
      </c>
    </row>
    <row r="216" spans="1:19" x14ac:dyDescent="0.35">
      <c r="A216" s="2">
        <v>45261</v>
      </c>
      <c r="B216" s="3">
        <v>332133</v>
      </c>
      <c r="C216" s="3">
        <v>9501</v>
      </c>
      <c r="D216" s="3">
        <f t="shared" si="31"/>
        <v>341634</v>
      </c>
      <c r="E216" s="4">
        <f t="shared" si="32"/>
        <v>3844.1319444444443</v>
      </c>
      <c r="F216" s="4">
        <f t="shared" si="32"/>
        <v>109.96527777777777</v>
      </c>
      <c r="G216" s="4">
        <f t="shared" si="33"/>
        <v>3954.0972222222222</v>
      </c>
      <c r="H216" s="3">
        <v>316683</v>
      </c>
      <c r="I216" s="4">
        <f t="shared" si="34"/>
        <v>3665.3124999999995</v>
      </c>
      <c r="J216" s="5">
        <f t="shared" si="35"/>
        <v>7.303429986476756E-2</v>
      </c>
      <c r="K216" s="7">
        <v>39.596038595455958</v>
      </c>
      <c r="L216" s="7">
        <v>19.619831506450129</v>
      </c>
      <c r="M216" s="3">
        <v>29760.000000000218</v>
      </c>
      <c r="N216" s="3">
        <v>5860.0000000001273</v>
      </c>
      <c r="O216" s="3">
        <f t="shared" si="36"/>
        <v>35620.000000000349</v>
      </c>
      <c r="P216" s="6">
        <f t="shared" si="39"/>
        <v>8.7110767663640676E-2</v>
      </c>
      <c r="Q216" s="6">
        <f t="shared" si="40"/>
        <v>1.7152859492907988E-2</v>
      </c>
      <c r="R216" s="6">
        <f t="shared" si="37"/>
        <v>0.10426362715654867</v>
      </c>
      <c r="S216" s="6">
        <f t="shared" si="38"/>
        <v>0.1072461935429492</v>
      </c>
    </row>
    <row r="217" spans="1:19" x14ac:dyDescent="0.35">
      <c r="A217" s="2">
        <v>45262</v>
      </c>
      <c r="B217" s="3">
        <v>332701</v>
      </c>
      <c r="C217" s="3">
        <v>18372</v>
      </c>
      <c r="D217" s="3">
        <f t="shared" si="31"/>
        <v>351073</v>
      </c>
      <c r="E217" s="4">
        <f t="shared" si="32"/>
        <v>3850.7060185185182</v>
      </c>
      <c r="F217" s="4">
        <f t="shared" si="32"/>
        <v>212.63888888888889</v>
      </c>
      <c r="G217" s="4">
        <f t="shared" si="33"/>
        <v>4063.3449074074069</v>
      </c>
      <c r="H217" s="3">
        <v>312888</v>
      </c>
      <c r="I217" s="4">
        <f t="shared" si="34"/>
        <v>3621.3888888888887</v>
      </c>
      <c r="J217" s="5">
        <f t="shared" si="35"/>
        <v>0.1087665528251959</v>
      </c>
      <c r="K217" s="7">
        <v>55.389406324268741</v>
      </c>
      <c r="L217" s="7">
        <v>17.189546975013865</v>
      </c>
      <c r="M217" s="3">
        <v>30079.999999999927</v>
      </c>
      <c r="N217" s="3">
        <v>7299.9999999992724</v>
      </c>
      <c r="O217" s="3">
        <f t="shared" si="36"/>
        <v>37379.9999999992</v>
      </c>
      <c r="P217" s="6">
        <f t="shared" si="39"/>
        <v>8.5680186172106446E-2</v>
      </c>
      <c r="Q217" s="6">
        <f t="shared" si="40"/>
        <v>2.0793396245223278E-2</v>
      </c>
      <c r="R217" s="6">
        <f t="shared" si="37"/>
        <v>0.10647358241732972</v>
      </c>
      <c r="S217" s="6">
        <f t="shared" si="38"/>
        <v>0.1123531338949964</v>
      </c>
    </row>
    <row r="218" spans="1:19" x14ac:dyDescent="0.35">
      <c r="A218" s="2">
        <v>45263</v>
      </c>
      <c r="B218" s="3">
        <v>332857</v>
      </c>
      <c r="C218" s="3">
        <v>8311</v>
      </c>
      <c r="D218" s="3">
        <f t="shared" si="31"/>
        <v>341168</v>
      </c>
      <c r="E218" s="4">
        <f t="shared" si="32"/>
        <v>3852.5115740740739</v>
      </c>
      <c r="F218" s="4">
        <f t="shared" si="32"/>
        <v>96.192129629629619</v>
      </c>
      <c r="G218" s="4">
        <f t="shared" si="33"/>
        <v>3948.7037037037035</v>
      </c>
      <c r="H218" s="3">
        <v>313648</v>
      </c>
      <c r="I218" s="4">
        <f t="shared" si="34"/>
        <v>3630.1851851851848</v>
      </c>
      <c r="J218" s="5">
        <f t="shared" si="35"/>
        <v>8.0664071659710165E-2</v>
      </c>
      <c r="K218" s="7">
        <v>47.185480663602696</v>
      </c>
      <c r="L218" s="7">
        <v>17.8213520160079</v>
      </c>
      <c r="M218" s="3">
        <v>28399.999999999636</v>
      </c>
      <c r="N218" s="3">
        <v>5819.9999999992542</v>
      </c>
      <c r="O218" s="3">
        <f t="shared" si="36"/>
        <v>34219.999999998894</v>
      </c>
      <c r="P218" s="6">
        <f t="shared" si="39"/>
        <v>8.3243446044176578E-2</v>
      </c>
      <c r="Q218" s="6">
        <f t="shared" si="40"/>
        <v>1.705904422454408E-2</v>
      </c>
      <c r="R218" s="6">
        <f t="shared" si="37"/>
        <v>0.10030249026872066</v>
      </c>
      <c r="S218" s="6">
        <f t="shared" si="38"/>
        <v>0.10280691107592418</v>
      </c>
    </row>
    <row r="219" spans="1:19" x14ac:dyDescent="0.35">
      <c r="A219" s="2">
        <v>45264</v>
      </c>
      <c r="B219" s="3">
        <v>333756</v>
      </c>
      <c r="C219" s="3">
        <v>7971</v>
      </c>
      <c r="D219" s="3">
        <f t="shared" si="31"/>
        <v>341727</v>
      </c>
      <c r="E219" s="4">
        <f t="shared" si="32"/>
        <v>3862.9166666666665</v>
      </c>
      <c r="F219" s="4">
        <f t="shared" si="32"/>
        <v>92.256944444444443</v>
      </c>
      <c r="G219" s="4">
        <f t="shared" si="33"/>
        <v>3955.1736111111109</v>
      </c>
      <c r="H219" s="3">
        <v>317504</v>
      </c>
      <c r="I219" s="4">
        <f t="shared" si="34"/>
        <v>3674.8148148148148</v>
      </c>
      <c r="J219" s="5">
        <f t="shared" si="35"/>
        <v>7.0884068276723819E-2</v>
      </c>
      <c r="K219" s="7">
        <v>46.076031393246687</v>
      </c>
      <c r="L219" s="7">
        <v>19.879552729960661</v>
      </c>
      <c r="M219" s="3">
        <v>30199.999999998909</v>
      </c>
      <c r="N219" s="3">
        <v>6660.0000000016735</v>
      </c>
      <c r="O219" s="3">
        <f t="shared" si="36"/>
        <v>36860.000000000582</v>
      </c>
      <c r="P219" s="6">
        <f t="shared" si="39"/>
        <v>8.8374638234610989E-2</v>
      </c>
      <c r="Q219" s="6">
        <f t="shared" si="40"/>
        <v>1.9489241412009216E-2</v>
      </c>
      <c r="R219" s="6">
        <f t="shared" si="37"/>
        <v>0.1078638796466202</v>
      </c>
      <c r="S219" s="6">
        <f t="shared" si="38"/>
        <v>0.11043996212802341</v>
      </c>
    </row>
    <row r="220" spans="1:19" x14ac:dyDescent="0.35">
      <c r="A220" s="2">
        <v>45265</v>
      </c>
      <c r="B220" s="3">
        <v>327369</v>
      </c>
      <c r="C220" s="3">
        <v>16169</v>
      </c>
      <c r="D220" s="3">
        <f t="shared" si="31"/>
        <v>343538</v>
      </c>
      <c r="E220" s="4">
        <f t="shared" si="32"/>
        <v>3788.9930555555552</v>
      </c>
      <c r="F220" s="4">
        <f t="shared" si="32"/>
        <v>187.1412037037037</v>
      </c>
      <c r="G220" s="4">
        <f t="shared" si="33"/>
        <v>3976.1342592592591</v>
      </c>
      <c r="H220" s="3">
        <v>318726</v>
      </c>
      <c r="I220" s="4">
        <f t="shared" si="34"/>
        <v>3688.958333333333</v>
      </c>
      <c r="J220" s="5">
        <f t="shared" si="35"/>
        <v>7.2224906706099476E-2</v>
      </c>
      <c r="K220" s="7">
        <v>51.316746719373093</v>
      </c>
      <c r="L220" s="7">
        <v>18.027985326785505</v>
      </c>
      <c r="M220" s="3">
        <v>31880.000000002838</v>
      </c>
      <c r="N220" s="3">
        <v>7519.9999999981628</v>
      </c>
      <c r="O220" s="3">
        <f t="shared" si="36"/>
        <v>39400.000000001004</v>
      </c>
      <c r="P220" s="6">
        <f t="shared" si="39"/>
        <v>9.2799049886774787E-2</v>
      </c>
      <c r="Q220" s="6">
        <f t="shared" si="40"/>
        <v>2.1889863712305953E-2</v>
      </c>
      <c r="R220" s="6">
        <f t="shared" si="37"/>
        <v>0.11468891359908076</v>
      </c>
      <c r="S220" s="6">
        <f t="shared" si="38"/>
        <v>0.12035348490541561</v>
      </c>
    </row>
    <row r="221" spans="1:19" x14ac:dyDescent="0.35">
      <c r="A221" s="2">
        <v>45266</v>
      </c>
      <c r="B221" s="3">
        <v>333172</v>
      </c>
      <c r="C221" s="3">
        <v>13389</v>
      </c>
      <c r="D221" s="3">
        <f t="shared" si="31"/>
        <v>346561</v>
      </c>
      <c r="E221" s="4">
        <f t="shared" si="32"/>
        <v>3856.1574074074069</v>
      </c>
      <c r="F221" s="4">
        <f t="shared" si="32"/>
        <v>154.96527777777777</v>
      </c>
      <c r="G221" s="4">
        <f t="shared" si="33"/>
        <v>4011.1226851851848</v>
      </c>
      <c r="H221" s="3">
        <v>318632</v>
      </c>
      <c r="I221" s="4">
        <f t="shared" si="34"/>
        <v>3687.87037037037</v>
      </c>
      <c r="J221" s="5">
        <f t="shared" si="35"/>
        <v>8.0588987220143057E-2</v>
      </c>
      <c r="K221" s="7">
        <v>48.270502376205073</v>
      </c>
      <c r="L221" s="7">
        <v>18.426127350758424</v>
      </c>
      <c r="M221" s="3">
        <v>30279.999999998836</v>
      </c>
      <c r="N221" s="3">
        <v>6760.0000000002183</v>
      </c>
      <c r="O221" s="3">
        <f t="shared" si="36"/>
        <v>37039.999999999054</v>
      </c>
      <c r="P221" s="6">
        <f t="shared" si="39"/>
        <v>8.7372785743343409E-2</v>
      </c>
      <c r="Q221" s="6">
        <f t="shared" si="40"/>
        <v>1.950594556225374E-2</v>
      </c>
      <c r="R221" s="6">
        <f t="shared" si="37"/>
        <v>0.10687873130559715</v>
      </c>
      <c r="S221" s="6">
        <f t="shared" si="38"/>
        <v>0.11117380812312876</v>
      </c>
    </row>
    <row r="222" spans="1:19" x14ac:dyDescent="0.35">
      <c r="A222" s="2">
        <v>45267</v>
      </c>
      <c r="B222" s="3">
        <v>332256</v>
      </c>
      <c r="C222" s="3">
        <v>12529</v>
      </c>
      <c r="D222" s="3">
        <f t="shared" si="31"/>
        <v>344785</v>
      </c>
      <c r="E222" s="4">
        <f t="shared" si="32"/>
        <v>3845.5555555555552</v>
      </c>
      <c r="F222" s="4">
        <f t="shared" si="32"/>
        <v>145.01157407407408</v>
      </c>
      <c r="G222" s="4">
        <f t="shared" si="33"/>
        <v>3990.5671296296291</v>
      </c>
      <c r="H222" s="3">
        <v>319442</v>
      </c>
      <c r="I222" s="4">
        <f t="shared" si="34"/>
        <v>3697.24537037037</v>
      </c>
      <c r="J222" s="5">
        <f t="shared" si="35"/>
        <v>7.3503777716547994E-2</v>
      </c>
      <c r="K222" s="7">
        <v>57.40743941876822</v>
      </c>
      <c r="L222" s="7">
        <v>19.637557654863453</v>
      </c>
      <c r="M222" s="3">
        <v>30319.999999999709</v>
      </c>
      <c r="N222" s="3">
        <v>6300.0000000006366</v>
      </c>
      <c r="O222" s="3">
        <f t="shared" si="36"/>
        <v>36620.000000000349</v>
      </c>
      <c r="P222" s="6">
        <f t="shared" si="39"/>
        <v>8.7938860449264647E-2</v>
      </c>
      <c r="Q222" s="6">
        <f t="shared" si="40"/>
        <v>1.8272256623694874E-2</v>
      </c>
      <c r="R222" s="6">
        <f t="shared" si="37"/>
        <v>0.10621111707295952</v>
      </c>
      <c r="S222" s="6">
        <f t="shared" si="38"/>
        <v>0.11021621881922478</v>
      </c>
    </row>
    <row r="223" spans="1:19" x14ac:dyDescent="0.35">
      <c r="A223" s="2">
        <v>45268</v>
      </c>
      <c r="B223" s="3">
        <v>331889</v>
      </c>
      <c r="C223" s="3">
        <v>16550</v>
      </c>
      <c r="D223" s="3">
        <f t="shared" si="31"/>
        <v>348439</v>
      </c>
      <c r="E223" s="4">
        <f t="shared" si="32"/>
        <v>3841.30787037037</v>
      </c>
      <c r="F223" s="4">
        <f t="shared" si="32"/>
        <v>191.55092592592592</v>
      </c>
      <c r="G223" s="4">
        <f t="shared" si="33"/>
        <v>4032.8587962962961</v>
      </c>
      <c r="H223" s="3">
        <v>318644</v>
      </c>
      <c r="I223" s="4">
        <f t="shared" si="34"/>
        <v>3688.0092592592591</v>
      </c>
      <c r="J223" s="5">
        <f t="shared" si="35"/>
        <v>8.5509945786780464E-2</v>
      </c>
      <c r="K223" s="7">
        <v>58.457405743903522</v>
      </c>
      <c r="L223" s="7">
        <v>17.449467552706164</v>
      </c>
      <c r="M223" s="3">
        <v>31120.000000002619</v>
      </c>
      <c r="N223" s="3">
        <v>6599.9999999999091</v>
      </c>
      <c r="O223" s="3">
        <f t="shared" si="36"/>
        <v>37720.000000002532</v>
      </c>
      <c r="P223" s="6">
        <f t="shared" si="39"/>
        <v>8.931261999949093E-2</v>
      </c>
      <c r="Q223" s="6">
        <f t="shared" si="40"/>
        <v>1.8941622493463445E-2</v>
      </c>
      <c r="R223" s="6">
        <f t="shared" si="37"/>
        <v>0.10825424249295439</v>
      </c>
      <c r="S223" s="6">
        <f t="shared" si="38"/>
        <v>0.11365245609225534</v>
      </c>
    </row>
    <row r="224" spans="1:19" x14ac:dyDescent="0.35">
      <c r="A224" s="2">
        <v>45269</v>
      </c>
      <c r="B224" s="3">
        <v>332222</v>
      </c>
      <c r="C224" s="3">
        <v>12555</v>
      </c>
      <c r="D224" s="3">
        <f t="shared" si="31"/>
        <v>344777</v>
      </c>
      <c r="E224" s="4">
        <f t="shared" si="32"/>
        <v>3845.162037037037</v>
      </c>
      <c r="F224" s="4">
        <f t="shared" si="32"/>
        <v>145.3125</v>
      </c>
      <c r="G224" s="4">
        <f t="shared" si="33"/>
        <v>3990.474537037037</v>
      </c>
      <c r="H224" s="3">
        <v>316702</v>
      </c>
      <c r="I224" s="4">
        <f t="shared" si="34"/>
        <v>3665.5324074074074</v>
      </c>
      <c r="J224" s="5">
        <f t="shared" si="35"/>
        <v>8.1429445699684147E-2</v>
      </c>
      <c r="K224" s="7">
        <v>49.161774275894246</v>
      </c>
      <c r="L224" s="7">
        <v>19.243939467299356</v>
      </c>
      <c r="M224" s="3">
        <v>29319.999999996071</v>
      </c>
      <c r="N224" s="3">
        <v>6099.9999999999091</v>
      </c>
      <c r="O224" s="3">
        <f t="shared" si="36"/>
        <v>35419.999999995984</v>
      </c>
      <c r="P224" s="6">
        <f t="shared" si="39"/>
        <v>8.5040475437735324E-2</v>
      </c>
      <c r="Q224" s="6">
        <f t="shared" si="40"/>
        <v>1.7692595503760136E-2</v>
      </c>
      <c r="R224" s="6">
        <f t="shared" si="37"/>
        <v>0.10273307094149547</v>
      </c>
      <c r="S224" s="6">
        <f t="shared" si="38"/>
        <v>0.10661545593005876</v>
      </c>
    </row>
    <row r="225" spans="1:19" x14ac:dyDescent="0.35">
      <c r="A225" s="2">
        <v>45270</v>
      </c>
      <c r="B225" s="3">
        <v>332638</v>
      </c>
      <c r="C225" s="3">
        <v>9710</v>
      </c>
      <c r="D225" s="3">
        <f t="shared" si="31"/>
        <v>342348</v>
      </c>
      <c r="E225" s="4">
        <f t="shared" si="32"/>
        <v>3849.9768518518517</v>
      </c>
      <c r="F225" s="4">
        <f t="shared" si="32"/>
        <v>112.38425925925925</v>
      </c>
      <c r="G225" s="4">
        <f t="shared" si="33"/>
        <v>3962.3611111111109</v>
      </c>
      <c r="H225" s="3">
        <v>315780</v>
      </c>
      <c r="I225" s="4">
        <f t="shared" si="34"/>
        <v>3654.8611111111109</v>
      </c>
      <c r="J225" s="5">
        <f t="shared" si="35"/>
        <v>7.7605243787023728E-2</v>
      </c>
      <c r="K225" s="7">
        <v>44.15318869828365</v>
      </c>
      <c r="L225" s="7">
        <v>19.148970108486022</v>
      </c>
      <c r="M225" s="3">
        <v>29560.00000000131</v>
      </c>
      <c r="N225" s="3">
        <v>4599.9999999994543</v>
      </c>
      <c r="O225" s="3">
        <f t="shared" si="36"/>
        <v>34160.000000000764</v>
      </c>
      <c r="P225" s="6">
        <f t="shared" si="39"/>
        <v>8.6344888826577954E-2</v>
      </c>
      <c r="Q225" s="6">
        <f t="shared" si="40"/>
        <v>1.3436620047435517E-2</v>
      </c>
      <c r="R225" s="6">
        <f t="shared" si="37"/>
        <v>9.9781508874013478E-2</v>
      </c>
      <c r="S225" s="6">
        <f t="shared" si="38"/>
        <v>0.10269422014322105</v>
      </c>
    </row>
    <row r="226" spans="1:19" x14ac:dyDescent="0.35">
      <c r="A226" s="2">
        <v>45271</v>
      </c>
      <c r="B226" s="3">
        <v>333507</v>
      </c>
      <c r="C226" s="3">
        <v>12323</v>
      </c>
      <c r="D226" s="3">
        <f t="shared" si="31"/>
        <v>345830</v>
      </c>
      <c r="E226" s="4">
        <f t="shared" si="32"/>
        <v>3860.0347222222222</v>
      </c>
      <c r="F226" s="4">
        <f t="shared" si="32"/>
        <v>142.62731481481481</v>
      </c>
      <c r="G226" s="4">
        <f t="shared" si="33"/>
        <v>4002.662037037037</v>
      </c>
      <c r="H226" s="3">
        <v>320444</v>
      </c>
      <c r="I226" s="4">
        <f t="shared" si="34"/>
        <v>3708.8425925925922</v>
      </c>
      <c r="J226" s="5">
        <f t="shared" si="35"/>
        <v>7.3406008732614283E-2</v>
      </c>
      <c r="K226" s="7">
        <v>48.192704108955269</v>
      </c>
      <c r="L226" s="7">
        <v>18.104941220688634</v>
      </c>
      <c r="M226" s="3">
        <v>29840.000000000146</v>
      </c>
      <c r="N226" s="3">
        <v>5540.0000000013279</v>
      </c>
      <c r="O226" s="3">
        <f t="shared" si="36"/>
        <v>35380.00000000147</v>
      </c>
      <c r="P226" s="6">
        <f t="shared" si="39"/>
        <v>8.6285169013677665E-2</v>
      </c>
      <c r="Q226" s="6">
        <f t="shared" si="40"/>
        <v>1.6019431512596733E-2</v>
      </c>
      <c r="R226" s="6">
        <f t="shared" si="37"/>
        <v>0.10230460052627438</v>
      </c>
      <c r="S226" s="6">
        <f t="shared" si="38"/>
        <v>0.10608472985574956</v>
      </c>
    </row>
    <row r="227" spans="1:19" x14ac:dyDescent="0.35">
      <c r="A227" s="2">
        <v>45272</v>
      </c>
      <c r="B227" s="3">
        <v>333982</v>
      </c>
      <c r="C227" s="3">
        <v>9833</v>
      </c>
      <c r="D227" s="3">
        <f t="shared" si="31"/>
        <v>343815</v>
      </c>
      <c r="E227" s="4">
        <f t="shared" si="32"/>
        <v>3865.5324074074069</v>
      </c>
      <c r="F227" s="4">
        <f t="shared" si="32"/>
        <v>113.80787037037037</v>
      </c>
      <c r="G227" s="4">
        <f t="shared" si="33"/>
        <v>3979.3402777777774</v>
      </c>
      <c r="H227" s="3">
        <v>320448</v>
      </c>
      <c r="I227" s="4">
        <f t="shared" si="34"/>
        <v>3708.8888888888887</v>
      </c>
      <c r="J227" s="5">
        <f t="shared" si="35"/>
        <v>6.7963875921643907E-2</v>
      </c>
      <c r="K227" s="7">
        <v>44.915043188924272</v>
      </c>
      <c r="L227" s="7">
        <v>17.091382362970919</v>
      </c>
      <c r="M227" s="3">
        <v>30839.999999998327</v>
      </c>
      <c r="N227" s="3">
        <v>5899.9999999987267</v>
      </c>
      <c r="O227" s="3">
        <f t="shared" si="36"/>
        <v>36739.999999997053</v>
      </c>
      <c r="P227" s="6">
        <f t="shared" si="39"/>
        <v>8.9699402294833933E-2</v>
      </c>
      <c r="Q227" s="6">
        <f t="shared" si="40"/>
        <v>1.7160391489605534E-2</v>
      </c>
      <c r="R227" s="6">
        <f t="shared" si="37"/>
        <v>0.10685979378443947</v>
      </c>
      <c r="S227" s="6">
        <f t="shared" si="38"/>
        <v>0.11000592846320177</v>
      </c>
    </row>
    <row r="228" spans="1:19" x14ac:dyDescent="0.35">
      <c r="A228" s="2">
        <v>45273</v>
      </c>
      <c r="B228" s="3">
        <v>333689</v>
      </c>
      <c r="C228" s="3">
        <v>15680</v>
      </c>
      <c r="D228" s="3">
        <f t="shared" si="31"/>
        <v>349369</v>
      </c>
      <c r="E228" s="4">
        <f t="shared" si="32"/>
        <v>3862.1412037037035</v>
      </c>
      <c r="F228" s="4">
        <f t="shared" si="32"/>
        <v>181.48148148148147</v>
      </c>
      <c r="G228" s="4">
        <f t="shared" si="33"/>
        <v>4043.6226851851848</v>
      </c>
      <c r="H228" s="3">
        <v>320992</v>
      </c>
      <c r="I228" s="4">
        <f t="shared" si="34"/>
        <v>3715.1851851851848</v>
      </c>
      <c r="J228" s="5">
        <f t="shared" si="35"/>
        <v>8.1223577363761526E-2</v>
      </c>
      <c r="K228" s="7">
        <v>40.581546827108269</v>
      </c>
      <c r="L228" s="7">
        <v>19.250265812346701</v>
      </c>
      <c r="M228" s="3">
        <v>31320.000000001528</v>
      </c>
      <c r="N228" s="3">
        <v>6780.0000000006548</v>
      </c>
      <c r="O228" s="3">
        <f t="shared" si="36"/>
        <v>38100.000000002183</v>
      </c>
      <c r="P228" s="6">
        <f t="shared" si="39"/>
        <v>8.9647335625088448E-2</v>
      </c>
      <c r="Q228" s="6">
        <f t="shared" si="40"/>
        <v>1.9406415566351493E-2</v>
      </c>
      <c r="R228" s="6">
        <f t="shared" si="37"/>
        <v>0.10905375119143995</v>
      </c>
      <c r="S228" s="6">
        <f t="shared" si="38"/>
        <v>0.11417817189059928</v>
      </c>
    </row>
    <row r="229" spans="1:19" x14ac:dyDescent="0.35">
      <c r="A229" s="2">
        <v>45274</v>
      </c>
      <c r="B229" s="3">
        <v>330922</v>
      </c>
      <c r="C229" s="3">
        <v>12338</v>
      </c>
      <c r="D229" s="3">
        <f t="shared" si="31"/>
        <v>343260</v>
      </c>
      <c r="E229" s="4">
        <f t="shared" si="32"/>
        <v>3830.1157407407404</v>
      </c>
      <c r="F229" s="4">
        <f t="shared" si="32"/>
        <v>142.80092592592592</v>
      </c>
      <c r="G229" s="4">
        <f t="shared" si="33"/>
        <v>3972.9166666666665</v>
      </c>
      <c r="H229" s="3">
        <v>319278</v>
      </c>
      <c r="I229" s="4">
        <f t="shared" si="34"/>
        <v>3695.3472222222222</v>
      </c>
      <c r="J229" s="5">
        <f t="shared" si="35"/>
        <v>6.9865408145429117E-2</v>
      </c>
      <c r="K229" s="7">
        <v>40.480606436474297</v>
      </c>
      <c r="L229" s="7">
        <v>18.920560415408175</v>
      </c>
      <c r="M229" s="3">
        <v>31040.000000000873</v>
      </c>
      <c r="N229" s="3">
        <v>5199.9999999998181</v>
      </c>
      <c r="O229" s="3">
        <f t="shared" si="36"/>
        <v>36240.000000000691</v>
      </c>
      <c r="P229" s="6">
        <f t="shared" si="39"/>
        <v>9.0427081512558627E-2</v>
      </c>
      <c r="Q229" s="6">
        <f t="shared" si="40"/>
        <v>1.5148866748236957E-2</v>
      </c>
      <c r="R229" s="6">
        <f t="shared" si="37"/>
        <v>0.10557594826079558</v>
      </c>
      <c r="S229" s="6">
        <f t="shared" si="38"/>
        <v>0.10951221133681258</v>
      </c>
    </row>
    <row r="230" spans="1:19" x14ac:dyDescent="0.35">
      <c r="A230" s="2">
        <v>45275</v>
      </c>
      <c r="B230" s="3">
        <v>334233</v>
      </c>
      <c r="C230" s="3">
        <v>11838</v>
      </c>
      <c r="D230" s="3">
        <f t="shared" si="31"/>
        <v>346071</v>
      </c>
      <c r="E230" s="4">
        <f t="shared" si="32"/>
        <v>3868.4374999999995</v>
      </c>
      <c r="F230" s="4">
        <f t="shared" si="32"/>
        <v>137.01388888888889</v>
      </c>
      <c r="G230" s="4">
        <f t="shared" si="33"/>
        <v>4005.4513888888882</v>
      </c>
      <c r="H230" s="3">
        <v>319288</v>
      </c>
      <c r="I230" s="4">
        <f t="shared" si="34"/>
        <v>3695.4629629629626</v>
      </c>
      <c r="J230" s="5">
        <f t="shared" si="35"/>
        <v>7.7391633508730864E-2</v>
      </c>
      <c r="K230" s="7">
        <v>44.218964363382959</v>
      </c>
      <c r="L230" s="7">
        <v>18.948164450333593</v>
      </c>
      <c r="M230" s="3">
        <v>31439.99999999869</v>
      </c>
      <c r="N230" s="3">
        <v>5860.0000000005821</v>
      </c>
      <c r="O230" s="3">
        <f t="shared" si="36"/>
        <v>37299.999999999272</v>
      </c>
      <c r="P230" s="6">
        <f t="shared" si="39"/>
        <v>9.0848409719389053E-2</v>
      </c>
      <c r="Q230" s="6">
        <f t="shared" si="40"/>
        <v>1.6932941506224392E-2</v>
      </c>
      <c r="R230" s="6">
        <f t="shared" si="37"/>
        <v>0.10778135122561346</v>
      </c>
      <c r="S230" s="6">
        <f t="shared" si="38"/>
        <v>0.11159879485269041</v>
      </c>
    </row>
    <row r="231" spans="1:19" x14ac:dyDescent="0.35">
      <c r="A231" s="2">
        <v>45276</v>
      </c>
      <c r="B231" s="3">
        <v>336117</v>
      </c>
      <c r="C231" s="3">
        <v>8794</v>
      </c>
      <c r="D231" s="3">
        <f t="shared" si="31"/>
        <v>344911</v>
      </c>
      <c r="E231" s="4">
        <f t="shared" si="32"/>
        <v>3890.2430555555552</v>
      </c>
      <c r="F231" s="4">
        <f t="shared" si="32"/>
        <v>101.7824074074074</v>
      </c>
      <c r="G231" s="4">
        <f t="shared" si="33"/>
        <v>3992.0254629629626</v>
      </c>
      <c r="H231" s="3">
        <v>316164</v>
      </c>
      <c r="I231" s="4">
        <f t="shared" si="34"/>
        <v>3659.3055555555552</v>
      </c>
      <c r="J231" s="5">
        <f t="shared" si="35"/>
        <v>8.3346138569080144E-2</v>
      </c>
      <c r="K231" s="7">
        <v>44.391762731835144</v>
      </c>
      <c r="L231" s="7">
        <v>20.3525718604016</v>
      </c>
      <c r="M231" s="3">
        <v>30040.000000002692</v>
      </c>
      <c r="N231" s="3">
        <v>5419.9999999991633</v>
      </c>
      <c r="O231" s="3">
        <f t="shared" si="36"/>
        <v>35460.000000001855</v>
      </c>
      <c r="P231" s="6">
        <f t="shared" si="39"/>
        <v>8.709493173602087E-2</v>
      </c>
      <c r="Q231" s="6">
        <f t="shared" si="40"/>
        <v>1.5714198735323499E-2</v>
      </c>
      <c r="R231" s="6">
        <f t="shared" si="37"/>
        <v>0.10280913047134436</v>
      </c>
      <c r="S231" s="6">
        <f t="shared" si="38"/>
        <v>0.10549897803443996</v>
      </c>
    </row>
    <row r="232" spans="1:19" x14ac:dyDescent="0.35">
      <c r="A232" s="2">
        <v>45277</v>
      </c>
      <c r="B232" s="3">
        <v>334805</v>
      </c>
      <c r="C232" s="3">
        <v>9283</v>
      </c>
      <c r="D232" s="3">
        <f t="shared" si="31"/>
        <v>344088</v>
      </c>
      <c r="E232" s="4">
        <f t="shared" si="32"/>
        <v>3875.05787037037</v>
      </c>
      <c r="F232" s="4">
        <f t="shared" si="32"/>
        <v>107.44212962962962</v>
      </c>
      <c r="G232" s="4">
        <f t="shared" si="33"/>
        <v>3982.4999999999995</v>
      </c>
      <c r="H232" s="3">
        <v>315536</v>
      </c>
      <c r="I232" s="4">
        <f t="shared" si="34"/>
        <v>3652.037037037037</v>
      </c>
      <c r="J232" s="5">
        <f t="shared" si="35"/>
        <v>8.2978772872055989E-2</v>
      </c>
      <c r="K232" s="7">
        <v>42.614976131687172</v>
      </c>
      <c r="L232" s="7">
        <v>20.236725528484133</v>
      </c>
      <c r="M232" s="3">
        <v>29519.999999998618</v>
      </c>
      <c r="N232" s="3">
        <v>4740.0000000006912</v>
      </c>
      <c r="O232" s="3">
        <f t="shared" si="36"/>
        <v>34259.999999999309</v>
      </c>
      <c r="P232" s="6">
        <f t="shared" si="39"/>
        <v>8.5792006695957476E-2</v>
      </c>
      <c r="Q232" s="6">
        <f t="shared" si="40"/>
        <v>1.3775545790613714E-2</v>
      </c>
      <c r="R232" s="6">
        <f t="shared" si="37"/>
        <v>9.956755248657119E-2</v>
      </c>
      <c r="S232" s="6">
        <f t="shared" si="38"/>
        <v>0.10232822090470366</v>
      </c>
    </row>
    <row r="233" spans="1:19" x14ac:dyDescent="0.35">
      <c r="A233" s="2">
        <v>45278</v>
      </c>
      <c r="B233" s="3">
        <v>334133</v>
      </c>
      <c r="C233" s="3">
        <v>12130</v>
      </c>
      <c r="D233" s="3">
        <f t="shared" si="31"/>
        <v>346263</v>
      </c>
      <c r="E233" s="4">
        <f t="shared" si="32"/>
        <v>3867.2800925925922</v>
      </c>
      <c r="F233" s="4">
        <f t="shared" si="32"/>
        <v>140.3935185185185</v>
      </c>
      <c r="G233" s="4">
        <f t="shared" si="33"/>
        <v>4007.6736111111109</v>
      </c>
      <c r="H233" s="3">
        <v>320296</v>
      </c>
      <c r="I233" s="4">
        <f t="shared" si="34"/>
        <v>3707.1296296296296</v>
      </c>
      <c r="J233" s="5">
        <f t="shared" si="35"/>
        <v>7.4992130259369322E-2</v>
      </c>
      <c r="K233" s="7">
        <v>12.755315379812478</v>
      </c>
      <c r="L233" s="7">
        <v>19.553736079315712</v>
      </c>
      <c r="M233" s="3">
        <v>31079.999999998108</v>
      </c>
      <c r="N233" s="3">
        <v>5940.0000000005093</v>
      </c>
      <c r="O233" s="3">
        <f t="shared" si="36"/>
        <v>37019.999999998618</v>
      </c>
      <c r="P233" s="6">
        <f t="shared" si="39"/>
        <v>8.9758362862905103E-2</v>
      </c>
      <c r="Q233" s="6">
        <f t="shared" si="40"/>
        <v>1.7154590585770093E-2</v>
      </c>
      <c r="R233" s="6">
        <f t="shared" si="37"/>
        <v>0.10691295344867519</v>
      </c>
      <c r="S233" s="6">
        <f t="shared" si="38"/>
        <v>0.11079420470291357</v>
      </c>
    </row>
    <row r="234" spans="1:19" x14ac:dyDescent="0.35">
      <c r="A234" s="2">
        <v>45279</v>
      </c>
      <c r="B234" s="3">
        <v>334436</v>
      </c>
      <c r="C234" s="3">
        <v>13025</v>
      </c>
      <c r="D234" s="3">
        <f t="shared" si="31"/>
        <v>347461</v>
      </c>
      <c r="E234" s="4">
        <f t="shared" si="32"/>
        <v>3870.787037037037</v>
      </c>
      <c r="F234" s="4">
        <f t="shared" si="32"/>
        <v>150.75231481481481</v>
      </c>
      <c r="G234" s="4">
        <f t="shared" si="33"/>
        <v>4021.5393518518517</v>
      </c>
      <c r="H234" s="3">
        <v>320148</v>
      </c>
      <c r="I234" s="4">
        <f t="shared" si="34"/>
        <v>3705.4166666666665</v>
      </c>
      <c r="J234" s="5">
        <f t="shared" si="35"/>
        <v>7.8607383274669679E-2</v>
      </c>
      <c r="K234" s="7">
        <v>15.05034636520358</v>
      </c>
      <c r="L234" s="7">
        <v>20.887507403692126</v>
      </c>
      <c r="M234" s="3">
        <v>30520.000000000437</v>
      </c>
      <c r="N234" s="3">
        <v>5979.9999999986539</v>
      </c>
      <c r="O234" s="3">
        <f t="shared" si="36"/>
        <v>36499.999999999091</v>
      </c>
      <c r="P234" s="6">
        <f t="shared" si="39"/>
        <v>8.7837196116975533E-2</v>
      </c>
      <c r="Q234" s="6">
        <f t="shared" si="40"/>
        <v>1.7210564638905242E-2</v>
      </c>
      <c r="R234" s="6">
        <f t="shared" si="37"/>
        <v>0.10504776075588078</v>
      </c>
      <c r="S234" s="6">
        <f t="shared" si="38"/>
        <v>0.10913896829288441</v>
      </c>
    </row>
    <row r="235" spans="1:19" x14ac:dyDescent="0.35">
      <c r="A235" s="2">
        <v>45280</v>
      </c>
      <c r="B235" s="3">
        <v>334295</v>
      </c>
      <c r="C235" s="3">
        <v>15490</v>
      </c>
      <c r="D235" s="3">
        <f t="shared" si="31"/>
        <v>349785</v>
      </c>
      <c r="E235" s="4">
        <f t="shared" si="32"/>
        <v>3869.1550925925922</v>
      </c>
      <c r="F235" s="4">
        <f t="shared" si="32"/>
        <v>179.28240740740739</v>
      </c>
      <c r="G235" s="4">
        <f t="shared" si="33"/>
        <v>4048.4374999999995</v>
      </c>
      <c r="H235" s="3">
        <v>321324</v>
      </c>
      <c r="I235" s="4">
        <f t="shared" si="34"/>
        <v>3719.0277777777774</v>
      </c>
      <c r="J235" s="5">
        <f t="shared" si="35"/>
        <v>8.1367125519962266E-2</v>
      </c>
      <c r="K235" s="7">
        <v>9.0492354588104096</v>
      </c>
      <c r="L235" s="7">
        <v>22.140609528585973</v>
      </c>
      <c r="M235" s="3">
        <v>32600.000000000364</v>
      </c>
      <c r="N235" s="3">
        <v>6120.0000000012551</v>
      </c>
      <c r="O235" s="3">
        <f t="shared" si="36"/>
        <v>38720.000000001615</v>
      </c>
      <c r="P235" s="6">
        <f t="shared" si="39"/>
        <v>9.3200108638164483E-2</v>
      </c>
      <c r="Q235" s="6">
        <f t="shared" si="40"/>
        <v>1.7496462112444086E-2</v>
      </c>
      <c r="R235" s="6">
        <f t="shared" si="37"/>
        <v>0.11069657075060856</v>
      </c>
      <c r="S235" s="6">
        <f t="shared" si="38"/>
        <v>0.11582584244455231</v>
      </c>
    </row>
    <row r="236" spans="1:19" x14ac:dyDescent="0.35">
      <c r="A236" s="2">
        <v>45281</v>
      </c>
      <c r="B236" s="3">
        <v>334712</v>
      </c>
      <c r="C236" s="3">
        <v>15340</v>
      </c>
      <c r="D236" s="3">
        <f t="shared" si="31"/>
        <v>350052</v>
      </c>
      <c r="E236" s="4">
        <f t="shared" si="32"/>
        <v>3873.9814814814813</v>
      </c>
      <c r="F236" s="4">
        <f t="shared" si="32"/>
        <v>177.54629629629628</v>
      </c>
      <c r="G236" s="4">
        <f t="shared" si="33"/>
        <v>4051.5277777777774</v>
      </c>
      <c r="H236" s="3">
        <v>321100</v>
      </c>
      <c r="I236" s="4">
        <f t="shared" si="34"/>
        <v>3716.4351851851848</v>
      </c>
      <c r="J236" s="5">
        <f t="shared" si="35"/>
        <v>8.2707711997074718E-2</v>
      </c>
      <c r="K236" s="7">
        <v>8.8539512684972586</v>
      </c>
      <c r="L236" s="7">
        <v>20.053666063736177</v>
      </c>
      <c r="M236" s="3">
        <v>31600.000000000364</v>
      </c>
      <c r="N236" s="3">
        <v>6059.9999999999454</v>
      </c>
      <c r="O236" s="3">
        <f t="shared" si="36"/>
        <v>37660.000000000306</v>
      </c>
      <c r="P236" s="6">
        <f t="shared" si="39"/>
        <v>9.0272302400787208E-2</v>
      </c>
      <c r="Q236" s="6">
        <f t="shared" si="40"/>
        <v>1.7311713688251875E-2</v>
      </c>
      <c r="R236" s="6">
        <f t="shared" si="37"/>
        <v>0.10758401608903907</v>
      </c>
      <c r="S236" s="6">
        <f t="shared" si="38"/>
        <v>0.11251463945123062</v>
      </c>
    </row>
    <row r="237" spans="1:19" x14ac:dyDescent="0.35">
      <c r="A237" s="2">
        <v>45282</v>
      </c>
      <c r="B237" s="3">
        <v>333501</v>
      </c>
      <c r="C237" s="3">
        <v>14667</v>
      </c>
      <c r="D237" s="3">
        <f t="shared" si="31"/>
        <v>348168</v>
      </c>
      <c r="E237" s="4">
        <f t="shared" si="32"/>
        <v>3859.9652777777774</v>
      </c>
      <c r="F237" s="4">
        <f t="shared" si="32"/>
        <v>169.75694444444443</v>
      </c>
      <c r="G237" s="4">
        <f t="shared" si="33"/>
        <v>4029.7222222222217</v>
      </c>
      <c r="H237" s="3">
        <v>321180</v>
      </c>
      <c r="I237" s="4">
        <f t="shared" si="34"/>
        <v>3717.3611111111109</v>
      </c>
      <c r="J237" s="5">
        <f t="shared" si="35"/>
        <v>7.7514303439718754E-2</v>
      </c>
      <c r="K237" s="7">
        <v>9.0912629103191538</v>
      </c>
      <c r="L237" s="7">
        <v>23.251546378769998</v>
      </c>
      <c r="M237" s="3">
        <v>30520.000000000437</v>
      </c>
      <c r="N237" s="3">
        <v>6339.999999999236</v>
      </c>
      <c r="O237" s="3">
        <f t="shared" si="36"/>
        <v>36859.999999999673</v>
      </c>
      <c r="P237" s="6">
        <f t="shared" si="39"/>
        <v>8.7658831368765761E-2</v>
      </c>
      <c r="Q237" s="6">
        <f t="shared" si="40"/>
        <v>1.8209599963233944E-2</v>
      </c>
      <c r="R237" s="6">
        <f t="shared" si="37"/>
        <v>0.1058684313319997</v>
      </c>
      <c r="S237" s="6">
        <f t="shared" si="38"/>
        <v>0.11052440622366851</v>
      </c>
    </row>
    <row r="238" spans="1:19" x14ac:dyDescent="0.35">
      <c r="A238" s="2">
        <v>45283</v>
      </c>
      <c r="B238" s="3">
        <v>333661</v>
      </c>
      <c r="C238" s="3">
        <v>12534</v>
      </c>
      <c r="D238" s="3">
        <f t="shared" si="31"/>
        <v>346195</v>
      </c>
      <c r="E238" s="4">
        <f t="shared" si="32"/>
        <v>3861.8171296296296</v>
      </c>
      <c r="F238" s="4">
        <f t="shared" si="32"/>
        <v>145.06944444444443</v>
      </c>
      <c r="G238" s="4">
        <f t="shared" si="33"/>
        <v>4006.8865740740739</v>
      </c>
      <c r="H238" s="3">
        <v>316312</v>
      </c>
      <c r="I238" s="4">
        <f t="shared" si="34"/>
        <v>3661.0185185185182</v>
      </c>
      <c r="J238" s="5">
        <f t="shared" si="35"/>
        <v>8.6318404367480756E-2</v>
      </c>
      <c r="K238" s="7">
        <v>8.3821870042028017</v>
      </c>
      <c r="L238" s="7">
        <v>20.342496317572888</v>
      </c>
      <c r="M238" s="3">
        <v>31159.999999998035</v>
      </c>
      <c r="N238" s="3">
        <v>5340.000000001055</v>
      </c>
      <c r="O238" s="3">
        <f t="shared" si="36"/>
        <v>36499.999999999091</v>
      </c>
      <c r="P238" s="6">
        <f t="shared" si="39"/>
        <v>9.0007076936403002E-2</v>
      </c>
      <c r="Q238" s="6">
        <f t="shared" si="40"/>
        <v>1.5424832825433802E-2</v>
      </c>
      <c r="R238" s="6">
        <f t="shared" si="37"/>
        <v>0.10543190976183679</v>
      </c>
      <c r="S238" s="6">
        <f t="shared" si="38"/>
        <v>0.10939246720473501</v>
      </c>
    </row>
    <row r="239" spans="1:19" x14ac:dyDescent="0.35">
      <c r="A239" s="2">
        <v>45284</v>
      </c>
      <c r="B239" s="3">
        <v>333202</v>
      </c>
      <c r="C239" s="3">
        <v>6324</v>
      </c>
      <c r="D239" s="3">
        <f t="shared" si="31"/>
        <v>339526</v>
      </c>
      <c r="E239" s="4">
        <f t="shared" si="32"/>
        <v>3856.5046296296296</v>
      </c>
      <c r="F239" s="4">
        <f t="shared" si="32"/>
        <v>73.194444444444443</v>
      </c>
      <c r="G239" s="4">
        <f t="shared" si="33"/>
        <v>3929.6990740740739</v>
      </c>
      <c r="H239" s="3">
        <v>314312</v>
      </c>
      <c r="I239" s="4">
        <f t="shared" si="34"/>
        <v>3637.87037037037</v>
      </c>
      <c r="J239" s="5">
        <f t="shared" si="35"/>
        <v>7.4262353987618032E-2</v>
      </c>
      <c r="K239" s="7">
        <v>8.7389422057810027</v>
      </c>
      <c r="L239" s="7">
        <v>22.776255144221231</v>
      </c>
      <c r="M239" s="3">
        <v>29400.000000001455</v>
      </c>
      <c r="N239" s="3">
        <v>4439.9999999991451</v>
      </c>
      <c r="O239" s="3">
        <f t="shared" si="36"/>
        <v>33840.000000000597</v>
      </c>
      <c r="P239" s="6">
        <f t="shared" si="39"/>
        <v>8.6591306704056403E-2</v>
      </c>
      <c r="Q239" s="6">
        <f t="shared" si="40"/>
        <v>1.3077054481833925E-2</v>
      </c>
      <c r="R239" s="6">
        <f t="shared" si="37"/>
        <v>9.9668361185890314E-2</v>
      </c>
      <c r="S239" s="6">
        <f t="shared" si="38"/>
        <v>0.10156001464577222</v>
      </c>
    </row>
    <row r="240" spans="1:19" x14ac:dyDescent="0.35">
      <c r="A240" s="2">
        <v>45285</v>
      </c>
      <c r="B240" s="3">
        <v>332441</v>
      </c>
      <c r="C240" s="3">
        <v>9683</v>
      </c>
      <c r="D240" s="3">
        <f t="shared" si="31"/>
        <v>342124</v>
      </c>
      <c r="E240" s="4">
        <f t="shared" si="32"/>
        <v>3847.6967592592591</v>
      </c>
      <c r="F240" s="4">
        <f t="shared" si="32"/>
        <v>112.07175925925925</v>
      </c>
      <c r="G240" s="4">
        <f t="shared" si="33"/>
        <v>3959.7685185185182</v>
      </c>
      <c r="H240" s="3">
        <v>314188</v>
      </c>
      <c r="I240" s="4">
        <f t="shared" si="34"/>
        <v>3636.4351851851848</v>
      </c>
      <c r="J240" s="5">
        <f t="shared" si="35"/>
        <v>8.1654604763185284E-2</v>
      </c>
      <c r="K240" s="7">
        <v>9.4446174500473621</v>
      </c>
      <c r="L240" s="7">
        <v>24.026346289821916</v>
      </c>
      <c r="M240" s="3">
        <v>29520.000000000437</v>
      </c>
      <c r="N240" s="3">
        <v>4099.9999999994543</v>
      </c>
      <c r="O240" s="3">
        <f t="shared" si="36"/>
        <v>33619.999999999891</v>
      </c>
      <c r="P240" s="6">
        <f t="shared" si="39"/>
        <v>8.628450503326407E-2</v>
      </c>
      <c r="Q240" s="6">
        <f t="shared" si="40"/>
        <v>1.1983959032396015E-2</v>
      </c>
      <c r="R240" s="6">
        <f t="shared" si="37"/>
        <v>9.8268464065660088E-2</v>
      </c>
      <c r="S240" s="6">
        <f t="shared" si="38"/>
        <v>0.10113072695606105</v>
      </c>
    </row>
    <row r="241" spans="1:19" x14ac:dyDescent="0.35">
      <c r="A241" s="2">
        <v>45286</v>
      </c>
      <c r="B241" s="3">
        <v>332020</v>
      </c>
      <c r="C241" s="3">
        <v>9257</v>
      </c>
      <c r="D241" s="3">
        <f t="shared" si="31"/>
        <v>341277</v>
      </c>
      <c r="E241" s="4">
        <f t="shared" si="32"/>
        <v>3842.8240740740739</v>
      </c>
      <c r="F241" s="4">
        <f t="shared" si="32"/>
        <v>107.1412037037037</v>
      </c>
      <c r="G241" s="4">
        <f t="shared" si="33"/>
        <v>3949.9652777777774</v>
      </c>
      <c r="H241" s="3">
        <v>315832</v>
      </c>
      <c r="I241" s="4">
        <f t="shared" si="34"/>
        <v>3655.4629629629626</v>
      </c>
      <c r="J241" s="5">
        <f t="shared" si="35"/>
        <v>7.4558203453499644E-2</v>
      </c>
      <c r="K241" s="7">
        <v>10.627936565077604</v>
      </c>
      <c r="L241" s="7">
        <v>19.242239935769355</v>
      </c>
      <c r="M241" s="3">
        <v>29879.9999999992</v>
      </c>
      <c r="N241" s="3">
        <v>4539.9999999999636</v>
      </c>
      <c r="O241" s="3">
        <f t="shared" si="36"/>
        <v>34419.999999999163</v>
      </c>
      <c r="P241" s="6">
        <f t="shared" si="39"/>
        <v>8.7553512249577914E-2</v>
      </c>
      <c r="Q241" s="6">
        <f t="shared" si="40"/>
        <v>1.3302976760812957E-2</v>
      </c>
      <c r="R241" s="6">
        <f t="shared" si="37"/>
        <v>0.10085648901039086</v>
      </c>
      <c r="S241" s="6">
        <f t="shared" si="38"/>
        <v>0.10366845370760545</v>
      </c>
    </row>
    <row r="242" spans="1:19" x14ac:dyDescent="0.35">
      <c r="A242" s="2">
        <v>45287</v>
      </c>
      <c r="B242" s="3">
        <v>333326</v>
      </c>
      <c r="C242" s="3">
        <v>14446</v>
      </c>
      <c r="D242" s="3">
        <f t="shared" si="31"/>
        <v>347772</v>
      </c>
      <c r="E242" s="4">
        <f t="shared" si="32"/>
        <v>3857.9398148148148</v>
      </c>
      <c r="F242" s="4">
        <f t="shared" si="32"/>
        <v>167.19907407407408</v>
      </c>
      <c r="G242" s="4">
        <f t="shared" si="33"/>
        <v>4025.1388888888887</v>
      </c>
      <c r="H242" s="3">
        <v>318640</v>
      </c>
      <c r="I242" s="4">
        <f t="shared" si="34"/>
        <v>3687.9629629629626</v>
      </c>
      <c r="J242" s="5">
        <f t="shared" si="35"/>
        <v>8.3767525850269711E-2</v>
      </c>
      <c r="K242" s="7">
        <v>30.59902901073119</v>
      </c>
      <c r="L242" s="7">
        <v>18.850314627687027</v>
      </c>
      <c r="M242" s="3">
        <v>30200.000000000728</v>
      </c>
      <c r="N242" s="3">
        <v>5980.0000000004729</v>
      </c>
      <c r="O242" s="3">
        <f t="shared" si="36"/>
        <v>36180.000000001201</v>
      </c>
      <c r="P242" s="6">
        <f t="shared" si="39"/>
        <v>8.6838503387278818E-2</v>
      </c>
      <c r="Q242" s="6">
        <f t="shared" si="40"/>
        <v>1.7195173849534961E-2</v>
      </c>
      <c r="R242" s="6">
        <f t="shared" si="37"/>
        <v>0.10403367723681378</v>
      </c>
      <c r="S242" s="6">
        <f t="shared" si="38"/>
        <v>0.10854238793253812</v>
      </c>
    </row>
    <row r="243" spans="1:19" x14ac:dyDescent="0.35">
      <c r="A243" s="2">
        <v>45288</v>
      </c>
      <c r="B243" s="3">
        <v>332859</v>
      </c>
      <c r="C243" s="3">
        <v>17376</v>
      </c>
      <c r="D243" s="3">
        <f t="shared" si="31"/>
        <v>350235</v>
      </c>
      <c r="E243" s="4">
        <f t="shared" si="32"/>
        <v>3852.5347222222222</v>
      </c>
      <c r="F243" s="4">
        <f t="shared" si="32"/>
        <v>201.11111111111109</v>
      </c>
      <c r="G243" s="4">
        <f t="shared" si="33"/>
        <v>4053.645833333333</v>
      </c>
      <c r="H243" s="3">
        <v>317960</v>
      </c>
      <c r="I243" s="4">
        <f t="shared" si="34"/>
        <v>3680.0925925925922</v>
      </c>
      <c r="J243" s="5">
        <f t="shared" si="35"/>
        <v>9.2152411951975099E-2</v>
      </c>
      <c r="K243" s="7">
        <v>36.860121706397173</v>
      </c>
      <c r="L243" s="7">
        <v>20.204826508603947</v>
      </c>
      <c r="M243" s="3">
        <v>31040.000000000873</v>
      </c>
      <c r="N243" s="3">
        <v>7199.9999999993634</v>
      </c>
      <c r="O243" s="3">
        <f t="shared" si="36"/>
        <v>38240.000000000233</v>
      </c>
      <c r="P243" s="6">
        <f t="shared" si="39"/>
        <v>8.8626208117409372E-2</v>
      </c>
      <c r="Q243" s="6">
        <f t="shared" si="40"/>
        <v>2.0557625594242047E-2</v>
      </c>
      <c r="R243" s="6">
        <f t="shared" si="37"/>
        <v>0.10918383371165141</v>
      </c>
      <c r="S243" s="6">
        <f t="shared" si="38"/>
        <v>0.11488347919088933</v>
      </c>
    </row>
    <row r="244" spans="1:19" x14ac:dyDescent="0.35">
      <c r="A244" s="2">
        <v>45289</v>
      </c>
      <c r="B244" s="3">
        <v>276612</v>
      </c>
      <c r="C244" s="3">
        <v>32396</v>
      </c>
      <c r="D244" s="3">
        <f t="shared" si="31"/>
        <v>309008</v>
      </c>
      <c r="E244" s="4">
        <f t="shared" si="32"/>
        <v>3201.5277777777774</v>
      </c>
      <c r="F244" s="4">
        <f t="shared" si="32"/>
        <v>374.9537037037037</v>
      </c>
      <c r="G244" s="4">
        <f t="shared" si="33"/>
        <v>3576.4814814814808</v>
      </c>
      <c r="H244" s="3">
        <v>261480</v>
      </c>
      <c r="I244" s="4">
        <f t="shared" si="34"/>
        <v>3026.3888888888887</v>
      </c>
      <c r="J244" s="5">
        <f t="shared" si="35"/>
        <v>0.15380831564231348</v>
      </c>
      <c r="K244" s="7">
        <v>40.362830863925822</v>
      </c>
      <c r="L244" s="7">
        <v>19.71274958725007</v>
      </c>
      <c r="M244" s="3">
        <v>26399.999999997817</v>
      </c>
      <c r="N244" s="3">
        <v>7620.0000000003456</v>
      </c>
      <c r="O244" s="3">
        <f t="shared" si="36"/>
        <v>34019.999999998166</v>
      </c>
      <c r="P244" s="6">
        <f t="shared" si="39"/>
        <v>8.5434681302742385E-2</v>
      </c>
      <c r="Q244" s="6">
        <f t="shared" si="40"/>
        <v>2.4659555739658345E-2</v>
      </c>
      <c r="R244" s="6">
        <f t="shared" si="37"/>
        <v>0.11009423704240073</v>
      </c>
      <c r="S244" s="6">
        <f t="shared" si="38"/>
        <v>0.12298815669601523</v>
      </c>
    </row>
    <row r="245" spans="1:19" x14ac:dyDescent="0.35">
      <c r="A245" s="2">
        <v>45290</v>
      </c>
      <c r="B245" s="3">
        <v>331431</v>
      </c>
      <c r="C245" s="3">
        <v>4343</v>
      </c>
      <c r="D245" s="3">
        <f t="shared" si="31"/>
        <v>335774</v>
      </c>
      <c r="E245" s="4">
        <f t="shared" si="32"/>
        <v>3836.0069444444443</v>
      </c>
      <c r="F245" s="4">
        <f t="shared" si="32"/>
        <v>50.266203703703702</v>
      </c>
      <c r="G245" s="4">
        <f t="shared" si="33"/>
        <v>3886.2731481481483</v>
      </c>
      <c r="H245" s="3">
        <v>307780</v>
      </c>
      <c r="I245" s="4">
        <f t="shared" si="34"/>
        <v>3562.2685185185182</v>
      </c>
      <c r="J245" s="5">
        <f t="shared" si="35"/>
        <v>8.3371553485380043E-2</v>
      </c>
      <c r="K245" s="7">
        <v>31.393724318857316</v>
      </c>
      <c r="L245" s="7">
        <v>20.366881042575091</v>
      </c>
      <c r="M245" s="3">
        <v>28960.000000002765</v>
      </c>
      <c r="N245" s="3">
        <v>3480.0000000009277</v>
      </c>
      <c r="O245" s="3">
        <f t="shared" si="36"/>
        <v>32440.000000003693</v>
      </c>
      <c r="P245" s="6">
        <f t="shared" si="39"/>
        <v>8.624848856672275E-2</v>
      </c>
      <c r="Q245" s="6">
        <f t="shared" si="40"/>
        <v>1.0364113957605198E-2</v>
      </c>
      <c r="R245" s="6">
        <f t="shared" si="37"/>
        <v>9.6612602524327948E-2</v>
      </c>
      <c r="S245" s="6">
        <f t="shared" si="38"/>
        <v>9.7878593131009745E-2</v>
      </c>
    </row>
    <row r="246" spans="1:19" x14ac:dyDescent="0.35">
      <c r="A246" s="2">
        <v>45291</v>
      </c>
      <c r="B246" s="3">
        <v>331136</v>
      </c>
      <c r="C246" s="3">
        <v>7725</v>
      </c>
      <c r="D246" s="3">
        <f t="shared" si="31"/>
        <v>338861</v>
      </c>
      <c r="E246" s="4">
        <f t="shared" si="32"/>
        <v>3832.5925925925922</v>
      </c>
      <c r="F246" s="4">
        <f t="shared" si="32"/>
        <v>89.409722222222214</v>
      </c>
      <c r="G246" s="4">
        <f t="shared" si="33"/>
        <v>3922.0023148148143</v>
      </c>
      <c r="H246" s="3">
        <v>311670</v>
      </c>
      <c r="I246" s="4">
        <f t="shared" si="34"/>
        <v>3607.2916666666665</v>
      </c>
      <c r="J246" s="5">
        <f t="shared" si="35"/>
        <v>8.0242341254968846E-2</v>
      </c>
      <c r="K246" s="7">
        <v>37.57021653810861</v>
      </c>
      <c r="L246" s="7">
        <v>18.644350697332175</v>
      </c>
      <c r="M246" s="3">
        <v>29719.999999997526</v>
      </c>
      <c r="N246" s="3">
        <v>4039.9999999999636</v>
      </c>
      <c r="O246" s="3">
        <f t="shared" si="36"/>
        <v>33759.99999999749</v>
      </c>
      <c r="P246" s="6">
        <f t="shared" si="39"/>
        <v>8.7705578393493286E-2</v>
      </c>
      <c r="Q246" s="6">
        <f t="shared" si="40"/>
        <v>1.1922292621458249E-2</v>
      </c>
      <c r="R246" s="6">
        <f t="shared" si="37"/>
        <v>9.9627871014951533E-2</v>
      </c>
      <c r="S246" s="6">
        <f t="shared" si="38"/>
        <v>0.10195206803246246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 1,2</vt:lpstr>
      <vt:lpstr>B3</vt:lpstr>
      <vt:lpstr>PG</vt:lpstr>
      <vt:lpstr>P1</vt:lpstr>
      <vt:lpstr>P2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Amalia Cahyaningrum</dc:creator>
  <cp:lastModifiedBy>Nadia Amalia Cahyaningrum</cp:lastModifiedBy>
  <dcterms:created xsi:type="dcterms:W3CDTF">2026-07-20T02:52:52Z</dcterms:created>
  <dcterms:modified xsi:type="dcterms:W3CDTF">2026-07-20T07:20:21Z</dcterms:modified>
</cp:coreProperties>
</file>